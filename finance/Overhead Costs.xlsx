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teachmc/Desktop/Michael McDonald assets 2822086:2825077: /"/>
    </mc:Choice>
  </mc:AlternateContent>
  <xr:revisionPtr revIDLastSave="0" documentId="13_ncr:1_{BC8EAC12-D7DB-A140-BBFE-B941E8BA5E0B}" xr6:coauthVersionLast="45" xr6:coauthVersionMax="45" xr10:uidLastSave="{00000000-0000-0000-0000-000000000000}"/>
  <bookViews>
    <workbookView xWindow="240" yWindow="460" windowWidth="27340" windowHeight="16420" xr2:uid="{13469039-CD57-354A-889F-43327C1143DA}"/>
  </bookViews>
  <sheets>
    <sheet name="2017" sheetId="1" r:id="rId1"/>
    <sheet name="2018" sheetId="2" r:id="rId2"/>
    <sheet name="About this document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3" i="1" l="1"/>
  <c r="D23" i="1"/>
  <c r="E23" i="1"/>
  <c r="F23" i="1"/>
  <c r="G23" i="1"/>
  <c r="H23" i="1"/>
  <c r="I23" i="1"/>
  <c r="J23" i="1"/>
  <c r="K23" i="1"/>
  <c r="L23" i="1"/>
  <c r="M23" i="1"/>
  <c r="B23" i="1"/>
  <c r="C16" i="1"/>
  <c r="C25" i="1" s="1"/>
  <c r="D16" i="1"/>
  <c r="D25" i="1" s="1"/>
  <c r="E16" i="1"/>
  <c r="E25" i="1" s="1"/>
  <c r="F16" i="1"/>
  <c r="F25" i="1" s="1"/>
  <c r="G16" i="1"/>
  <c r="G25" i="1" s="1"/>
  <c r="H16" i="1"/>
  <c r="H25" i="1" s="1"/>
  <c r="I16" i="1"/>
  <c r="I25" i="1" s="1"/>
  <c r="J16" i="1"/>
  <c r="K16" i="1"/>
  <c r="K25" i="1" s="1"/>
  <c r="L16" i="1"/>
  <c r="L25" i="1" s="1"/>
  <c r="M16" i="1"/>
  <c r="B16" i="1"/>
  <c r="B16" i="2"/>
  <c r="B25" i="2" s="1"/>
  <c r="C23" i="2"/>
  <c r="D23" i="2"/>
  <c r="E23" i="2"/>
  <c r="F23" i="2"/>
  <c r="G23" i="2"/>
  <c r="H23" i="2"/>
  <c r="I23" i="2"/>
  <c r="J23" i="2"/>
  <c r="K23" i="2"/>
  <c r="L23" i="2"/>
  <c r="M23" i="2"/>
  <c r="B23" i="2"/>
  <c r="N23" i="2" s="1"/>
  <c r="C16" i="2"/>
  <c r="D16" i="2"/>
  <c r="E16" i="2"/>
  <c r="E25" i="2" s="1"/>
  <c r="F16" i="2"/>
  <c r="G16" i="2"/>
  <c r="G25" i="2" s="1"/>
  <c r="H16" i="2"/>
  <c r="H25" i="2" s="1"/>
  <c r="I16" i="2"/>
  <c r="I25" i="2" s="1"/>
  <c r="J16" i="2"/>
  <c r="J25" i="2" s="1"/>
  <c r="K16" i="2"/>
  <c r="K25" i="2" s="1"/>
  <c r="L16" i="2"/>
  <c r="L25" i="2" s="1"/>
  <c r="M16" i="2"/>
  <c r="M25" i="2" s="1"/>
  <c r="N20" i="2"/>
  <c r="N21" i="2"/>
  <c r="N22" i="2"/>
  <c r="N13" i="2"/>
  <c r="N14" i="2"/>
  <c r="N15" i="2"/>
  <c r="N11" i="2"/>
  <c r="N7" i="2"/>
  <c r="N8" i="2"/>
  <c r="N20" i="1"/>
  <c r="N21" i="1"/>
  <c r="N22" i="1"/>
  <c r="N10" i="1"/>
  <c r="N11" i="1"/>
  <c r="N12" i="1"/>
  <c r="N13" i="1"/>
  <c r="N14" i="1"/>
  <c r="N15" i="1"/>
  <c r="N7" i="1"/>
  <c r="N8" i="1"/>
  <c r="C25" i="2"/>
  <c r="D25" i="2"/>
  <c r="F25" i="2"/>
  <c r="N10" i="2"/>
  <c r="M25" i="1" l="1"/>
  <c r="J25" i="1"/>
  <c r="B25" i="1"/>
  <c r="N23" i="1"/>
  <c r="N16" i="1"/>
  <c r="N25" i="1" s="1"/>
  <c r="N16" i="2"/>
  <c r="N25" i="2" s="1"/>
  <c r="N9" i="2" l="1"/>
  <c r="N9" i="1"/>
  <c r="N12" i="2"/>
  <c r="N19" i="2"/>
  <c r="N19" i="1"/>
</calcChain>
</file>

<file path=xl/sharedStrings.xml><?xml version="1.0" encoding="utf-8"?>
<sst xmlns="http://schemas.openxmlformats.org/spreadsheetml/2006/main" count="48" uniqueCount="27">
  <si>
    <t>(US dollar, in thousands)</t>
  </si>
  <si>
    <t>Totals</t>
  </si>
  <si>
    <t>Red30 Tech 2017 Overhead Costs</t>
  </si>
  <si>
    <t>Variable Costs</t>
  </si>
  <si>
    <t>Fixed Costs</t>
  </si>
  <si>
    <t>Utilities</t>
  </si>
  <si>
    <t>Maintenance</t>
  </si>
  <si>
    <t>Salaries and Wages</t>
  </si>
  <si>
    <t>Rent</t>
  </si>
  <si>
    <t>Insurance</t>
  </si>
  <si>
    <t>Travel</t>
  </si>
  <si>
    <t>Interest</t>
  </si>
  <si>
    <t>Supplies</t>
  </si>
  <si>
    <t>Research and Development</t>
  </si>
  <si>
    <t>Depreciation</t>
  </si>
  <si>
    <t>Taxes</t>
  </si>
  <si>
    <t>Phone and Internet</t>
  </si>
  <si>
    <t>Variable Costs Total</t>
  </si>
  <si>
    <t>Fixed Costs Total</t>
  </si>
  <si>
    <t>Overhead Costs Total</t>
  </si>
  <si>
    <t>Note: this worksheet is part of a series of worksheets with correlating financial data for Red30 Tech. The other worksheets available in the series are:</t>
  </si>
  <si>
    <t>Red30 Tech Marketing Expenses.xlsx</t>
  </si>
  <si>
    <t>Red30 Tech Labor Expenses.xlsx</t>
  </si>
  <si>
    <t>Red30 Tech Budget.xlsx</t>
  </si>
  <si>
    <t>Red30 Tech Balance Sheet.xlsx</t>
  </si>
  <si>
    <t>Red30 Tech Financial Statement.xlsx</t>
  </si>
  <si>
    <t>Marketing and Advertising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</si>
</sst>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(&quot;$&quot;* #,##0_);_(&quot;$&quot;* \(#,##0\);_(&quot;$&quot;* &quot;-&quot;_);_(@_)"/>
  </numFmts>
  <fonts count="9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b/>
      <sz val="18"/>
      <name val="Calibri Light"/>
      <family val="2"/>
      <scheme val="major"/>
    </font>
    <font>
      <b/>
      <sz val="18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3" fillId="0" borderId="0" xfId="0" applyFont="1" applyAlignment="1">
      <alignment horizontal="left"/>
    </xf>
    <xf numFmtId="0" fontId="4" fillId="0" borderId="0" xfId="0" applyFont="1"/>
    <xf numFmtId="0" fontId="3" fillId="0" borderId="0" xfId="0" applyFont="1"/>
    <xf numFmtId="42" fontId="3" fillId="0" borderId="0" xfId="0" applyNumberFormat="1" applyFont="1"/>
    <xf numFmtId="0" fontId="2" fillId="0" borderId="0" xfId="0" applyFont="1"/>
    <xf numFmtId="17" fontId="1" fillId="2" borderId="0" xfId="0" applyNumberFormat="1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left"/>
    </xf>
    <xf numFmtId="42" fontId="0" fillId="0" borderId="0" xfId="0" applyNumberFormat="1"/>
    <xf numFmtId="42" fontId="6" fillId="0" borderId="0" xfId="0" applyNumberFormat="1" applyFont="1"/>
    <xf numFmtId="0" fontId="2" fillId="0" borderId="1" xfId="0" applyFont="1" applyBorder="1"/>
    <xf numFmtId="42" fontId="6" fillId="0" borderId="1" xfId="0" applyNumberFormat="1" applyFont="1" applyBorder="1"/>
    <xf numFmtId="42" fontId="0" fillId="3" borderId="2" xfId="0" applyNumberFormat="1" applyFill="1" applyBorder="1"/>
    <xf numFmtId="42" fontId="7" fillId="3" borderId="3" xfId="0" applyNumberFormat="1" applyFont="1" applyFill="1" applyBorder="1"/>
    <xf numFmtId="0" fontId="0" fillId="0" borderId="4" xfId="0" applyBorder="1"/>
    <xf numFmtId="42" fontId="0" fillId="0" borderId="4" xfId="0" applyNumberFormat="1" applyBorder="1"/>
    <xf numFmtId="42" fontId="7" fillId="3" borderId="5" xfId="0" applyNumberFormat="1" applyFont="1" applyFill="1" applyBorder="1"/>
    <xf numFmtId="42" fontId="7" fillId="3" borderId="6" xfId="0" applyNumberFormat="1" applyFont="1" applyFill="1" applyBorder="1"/>
    <xf numFmtId="0" fontId="5" fillId="0" borderId="0" xfId="0" applyFont="1" applyAlignment="1">
      <alignment horizontal="left" vertical="top"/>
    </xf>
    <xf numFmtId="0" fontId="0" fillId="0" borderId="0" xfId="0" applyAlignment="1">
      <alignment vertical="center"/>
    </xf>
    <xf numFmtId="0" fontId="8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292100</xdr:colOff>
      <xdr:row>0</xdr:row>
      <xdr:rowOff>215900</xdr:rowOff>
    </xdr:from>
    <xdr:to>
      <xdr:col>0</xdr:col>
      <xdr:colOff>2110592</xdr:colOff>
      <xdr:row>4</xdr:row>
      <xdr:rowOff>50303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1E204A-6FA7-F740-9B53-6DDA42FF5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2100" y="215900"/>
          <a:ext cx="1818492" cy="74880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279400</xdr:colOff>
      <xdr:row>0</xdr:row>
      <xdr:rowOff>215900</xdr:rowOff>
    </xdr:from>
    <xdr:to>
      <xdr:col>0</xdr:col>
      <xdr:colOff>2097892</xdr:colOff>
      <xdr:row>4</xdr:row>
      <xdr:rowOff>50303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02F3BE2-E1EF-5A4B-AC07-858208E2A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9400" y="215900"/>
          <a:ext cx="1818492" cy="7488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DE8E-0331-4348-A1B3-C2FCE1F9C56B}">
  <dimension ref="A1:N26"/>
  <sheetViews>
    <sheetView showGridLines="0" tabSelected="1" workbookViewId="0"/>
  </sheetViews>
  <sheetFormatPr baseColWidth="10" defaultRowHeight="16" x14ac:dyDescent="0.2"/>
  <cols>
    <col min="1" max="1" width="33.6640625" customWidth="1"/>
    <col min="2" max="14" width="12.83203125" customWidth="1"/>
  </cols>
  <sheetData>
    <row r="1" spans="1:14" ht="24" x14ac:dyDescent="0.3">
      <c r="A1" s="1"/>
      <c r="B1" s="2"/>
      <c r="C1" s="3"/>
      <c r="D1" s="3"/>
      <c r="E1" s="3"/>
      <c r="F1" s="3"/>
    </row>
    <row r="2" spans="1:14" x14ac:dyDescent="0.2">
      <c r="A2" s="1"/>
      <c r="B2" s="19" t="s">
        <v>2</v>
      </c>
      <c r="C2" s="19"/>
      <c r="D2" s="19"/>
      <c r="E2" s="19"/>
      <c r="G2" s="4"/>
    </row>
    <row r="3" spans="1:14" x14ac:dyDescent="0.2">
      <c r="A3" s="1"/>
      <c r="B3" s="19"/>
      <c r="C3" s="19"/>
      <c r="D3" s="19"/>
      <c r="E3" s="19"/>
      <c r="F3" s="3"/>
    </row>
    <row r="4" spans="1:14" x14ac:dyDescent="0.2">
      <c r="A4" s="1"/>
      <c r="B4" s="3" t="s">
        <v>0</v>
      </c>
      <c r="C4" s="5"/>
      <c r="D4" s="3"/>
      <c r="E4" s="3"/>
      <c r="F4" s="3"/>
    </row>
    <row r="5" spans="1:14" ht="24" x14ac:dyDescent="0.3">
      <c r="A5" s="2"/>
      <c r="B5" s="3"/>
      <c r="C5" s="2"/>
      <c r="D5" s="2"/>
      <c r="E5" s="2"/>
      <c r="F5" s="2"/>
    </row>
    <row r="6" spans="1:14" x14ac:dyDescent="0.2">
      <c r="A6" s="8" t="s">
        <v>3</v>
      </c>
      <c r="B6" s="6">
        <v>42736</v>
      </c>
      <c r="C6" s="6">
        <v>42767</v>
      </c>
      <c r="D6" s="6">
        <v>42795</v>
      </c>
      <c r="E6" s="6">
        <v>42826</v>
      </c>
      <c r="F6" s="6">
        <v>42856</v>
      </c>
      <c r="G6" s="6">
        <v>42887</v>
      </c>
      <c r="H6" s="6">
        <v>42917</v>
      </c>
      <c r="I6" s="6">
        <v>42948</v>
      </c>
      <c r="J6" s="6">
        <v>42979</v>
      </c>
      <c r="K6" s="6">
        <v>43009</v>
      </c>
      <c r="L6" s="6">
        <v>43040</v>
      </c>
      <c r="M6" s="6">
        <v>43070</v>
      </c>
      <c r="N6" s="7" t="s">
        <v>1</v>
      </c>
    </row>
    <row r="7" spans="1:14" x14ac:dyDescent="0.2">
      <c r="A7" t="s">
        <v>5</v>
      </c>
      <c r="B7" s="9">
        <v>1300</v>
      </c>
      <c r="C7" s="9">
        <v>1300</v>
      </c>
      <c r="D7" s="9">
        <v>1300</v>
      </c>
      <c r="E7" s="9">
        <v>1300</v>
      </c>
      <c r="F7" s="9">
        <v>1300</v>
      </c>
      <c r="G7" s="9">
        <v>1300</v>
      </c>
      <c r="H7" s="9">
        <v>1300</v>
      </c>
      <c r="I7" s="9">
        <v>1300</v>
      </c>
      <c r="J7" s="9">
        <v>1300</v>
      </c>
      <c r="K7" s="9">
        <v>1300</v>
      </c>
      <c r="L7" s="9">
        <v>1300</v>
      </c>
      <c r="M7" s="9">
        <v>1389</v>
      </c>
      <c r="N7" s="18">
        <f t="shared" ref="N7:N8" si="0">SUM(B7:M7)</f>
        <v>15689</v>
      </c>
    </row>
    <row r="8" spans="1:14" x14ac:dyDescent="0.2">
      <c r="A8" t="s">
        <v>6</v>
      </c>
      <c r="B8" s="9">
        <v>121</v>
      </c>
      <c r="C8" s="9">
        <v>122</v>
      </c>
      <c r="D8" s="9">
        <v>120</v>
      </c>
      <c r="E8" s="9">
        <v>123</v>
      </c>
      <c r="F8" s="9">
        <v>124</v>
      </c>
      <c r="G8" s="9">
        <v>122</v>
      </c>
      <c r="H8" s="9">
        <v>125</v>
      </c>
      <c r="I8" s="9">
        <v>121</v>
      </c>
      <c r="J8" s="9">
        <v>120</v>
      </c>
      <c r="K8" s="9">
        <v>122</v>
      </c>
      <c r="L8" s="9">
        <v>123</v>
      </c>
      <c r="M8" s="9">
        <v>121</v>
      </c>
      <c r="N8" s="14">
        <f t="shared" si="0"/>
        <v>1464</v>
      </c>
    </row>
    <row r="9" spans="1:14" x14ac:dyDescent="0.2">
      <c r="A9" t="s">
        <v>7</v>
      </c>
      <c r="B9" s="9">
        <v>6024</v>
      </c>
      <c r="C9" s="9">
        <v>6026</v>
      </c>
      <c r="D9" s="9">
        <v>6027</v>
      </c>
      <c r="E9" s="9">
        <v>6028</v>
      </c>
      <c r="F9" s="9">
        <v>6029</v>
      </c>
      <c r="G9" s="9">
        <v>6029</v>
      </c>
      <c r="H9" s="9">
        <v>6030</v>
      </c>
      <c r="I9" s="9">
        <v>6034</v>
      </c>
      <c r="J9" s="9">
        <v>6036</v>
      </c>
      <c r="K9" s="9">
        <v>6037</v>
      </c>
      <c r="L9" s="9">
        <v>6037</v>
      </c>
      <c r="M9" s="9">
        <v>6037</v>
      </c>
      <c r="N9" s="14">
        <f>SUM(B9:M9)</f>
        <v>72374</v>
      </c>
    </row>
    <row r="10" spans="1:14" x14ac:dyDescent="0.2">
      <c r="A10" t="s">
        <v>26</v>
      </c>
      <c r="B10" s="9">
        <v>3112</v>
      </c>
      <c r="C10" s="9">
        <v>3128</v>
      </c>
      <c r="D10" s="9">
        <v>3244</v>
      </c>
      <c r="E10" s="9">
        <v>4709</v>
      </c>
      <c r="F10" s="9">
        <v>6109</v>
      </c>
      <c r="G10" s="9">
        <v>3467</v>
      </c>
      <c r="H10" s="9">
        <v>3465</v>
      </c>
      <c r="I10" s="9">
        <v>3551</v>
      </c>
      <c r="J10" s="9">
        <v>3462</v>
      </c>
      <c r="K10" s="9">
        <v>3470</v>
      </c>
      <c r="L10" s="9">
        <v>3578</v>
      </c>
      <c r="M10" s="9">
        <v>3650</v>
      </c>
      <c r="N10" s="14">
        <f t="shared" ref="N10:N16" si="1">SUM(B10:M10)</f>
        <v>44945</v>
      </c>
    </row>
    <row r="11" spans="1:14" x14ac:dyDescent="0.2">
      <c r="A11" t="s">
        <v>10</v>
      </c>
      <c r="B11" s="9">
        <v>121</v>
      </c>
      <c r="C11" s="9">
        <v>126</v>
      </c>
      <c r="D11" s="9">
        <v>138</v>
      </c>
      <c r="E11" s="9">
        <v>108</v>
      </c>
      <c r="F11" s="9">
        <v>122</v>
      </c>
      <c r="G11" s="9">
        <v>120</v>
      </c>
      <c r="H11" s="9">
        <v>123</v>
      </c>
      <c r="I11" s="9">
        <v>122</v>
      </c>
      <c r="J11" s="9">
        <v>127</v>
      </c>
      <c r="K11" s="9">
        <v>128</v>
      </c>
      <c r="L11" s="9">
        <v>130</v>
      </c>
      <c r="M11" s="9">
        <v>132</v>
      </c>
      <c r="N11" s="14">
        <f t="shared" si="1"/>
        <v>1497</v>
      </c>
    </row>
    <row r="12" spans="1:14" x14ac:dyDescent="0.2">
      <c r="A12" t="s">
        <v>11</v>
      </c>
      <c r="B12" s="9">
        <v>374</v>
      </c>
      <c r="C12" s="9">
        <v>374</v>
      </c>
      <c r="D12" s="9">
        <v>373</v>
      </c>
      <c r="E12" s="9">
        <v>372</v>
      </c>
      <c r="F12" s="9">
        <v>372</v>
      </c>
      <c r="G12" s="9">
        <v>371</v>
      </c>
      <c r="H12" s="9">
        <v>371</v>
      </c>
      <c r="I12" s="9">
        <v>371</v>
      </c>
      <c r="J12" s="9">
        <v>370</v>
      </c>
      <c r="K12" s="9">
        <v>370</v>
      </c>
      <c r="L12" s="9">
        <v>371</v>
      </c>
      <c r="M12" s="9">
        <v>371</v>
      </c>
      <c r="N12" s="14">
        <f t="shared" si="1"/>
        <v>4460</v>
      </c>
    </row>
    <row r="13" spans="1:14" x14ac:dyDescent="0.2">
      <c r="A13" t="s">
        <v>12</v>
      </c>
      <c r="B13" s="9">
        <v>148</v>
      </c>
      <c r="C13" s="9">
        <v>148</v>
      </c>
      <c r="D13" s="9">
        <v>150</v>
      </c>
      <c r="E13" s="9">
        <v>151</v>
      </c>
      <c r="F13" s="9">
        <v>152</v>
      </c>
      <c r="G13" s="9">
        <v>152</v>
      </c>
      <c r="H13" s="9">
        <v>153</v>
      </c>
      <c r="I13" s="9">
        <v>152</v>
      </c>
      <c r="J13" s="9">
        <v>152</v>
      </c>
      <c r="K13" s="9">
        <v>153</v>
      </c>
      <c r="L13" s="9">
        <v>153</v>
      </c>
      <c r="M13" s="9">
        <v>153</v>
      </c>
      <c r="N13" s="14">
        <f t="shared" si="1"/>
        <v>1817</v>
      </c>
    </row>
    <row r="14" spans="1:14" x14ac:dyDescent="0.2">
      <c r="A14" t="s">
        <v>13</v>
      </c>
      <c r="B14" s="9">
        <v>542</v>
      </c>
      <c r="C14" s="9">
        <v>533</v>
      </c>
      <c r="D14" s="9">
        <v>553</v>
      </c>
      <c r="E14" s="9">
        <v>517</v>
      </c>
      <c r="F14" s="9">
        <v>489</v>
      </c>
      <c r="G14" s="9">
        <v>530</v>
      </c>
      <c r="H14" s="9">
        <v>566</v>
      </c>
      <c r="I14" s="9">
        <v>542</v>
      </c>
      <c r="J14" s="9">
        <v>540</v>
      </c>
      <c r="K14" s="9">
        <v>541</v>
      </c>
      <c r="L14" s="9">
        <v>565</v>
      </c>
      <c r="M14" s="9">
        <v>562</v>
      </c>
      <c r="N14" s="14">
        <f t="shared" si="1"/>
        <v>6480</v>
      </c>
    </row>
    <row r="15" spans="1:14" x14ac:dyDescent="0.2">
      <c r="A15" s="15" t="s">
        <v>16</v>
      </c>
      <c r="B15" s="16">
        <v>12</v>
      </c>
      <c r="C15" s="16">
        <v>12</v>
      </c>
      <c r="D15" s="16">
        <v>13</v>
      </c>
      <c r="E15" s="16">
        <v>12</v>
      </c>
      <c r="F15" s="16">
        <v>11</v>
      </c>
      <c r="G15" s="16">
        <v>12</v>
      </c>
      <c r="H15" s="16">
        <v>12</v>
      </c>
      <c r="I15" s="16">
        <v>11</v>
      </c>
      <c r="J15" s="16">
        <v>11</v>
      </c>
      <c r="K15" s="16">
        <v>12</v>
      </c>
      <c r="L15" s="16">
        <v>12</v>
      </c>
      <c r="M15" s="16">
        <v>10</v>
      </c>
      <c r="N15" s="17">
        <f t="shared" si="1"/>
        <v>140</v>
      </c>
    </row>
    <row r="16" spans="1:14" x14ac:dyDescent="0.2">
      <c r="A16" s="5" t="s">
        <v>17</v>
      </c>
      <c r="B16" s="9">
        <f>SUM(B7:B15)</f>
        <v>11754</v>
      </c>
      <c r="C16" s="9">
        <f t="shared" ref="C16:M16" si="2">SUM(C7:C15)</f>
        <v>11769</v>
      </c>
      <c r="D16" s="9">
        <f t="shared" si="2"/>
        <v>11918</v>
      </c>
      <c r="E16" s="9">
        <f t="shared" si="2"/>
        <v>13320</v>
      </c>
      <c r="F16" s="9">
        <f t="shared" si="2"/>
        <v>14708</v>
      </c>
      <c r="G16" s="9">
        <f t="shared" si="2"/>
        <v>12103</v>
      </c>
      <c r="H16" s="9">
        <f t="shared" si="2"/>
        <v>12145</v>
      </c>
      <c r="I16" s="9">
        <f t="shared" si="2"/>
        <v>12204</v>
      </c>
      <c r="J16" s="9">
        <f t="shared" si="2"/>
        <v>12118</v>
      </c>
      <c r="K16" s="9">
        <f t="shared" si="2"/>
        <v>12133</v>
      </c>
      <c r="L16" s="9">
        <f t="shared" si="2"/>
        <v>12269</v>
      </c>
      <c r="M16" s="9">
        <f t="shared" si="2"/>
        <v>12425</v>
      </c>
      <c r="N16" s="14">
        <f t="shared" si="1"/>
        <v>148866</v>
      </c>
    </row>
    <row r="17" spans="1:14" x14ac:dyDescent="0.2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14"/>
    </row>
    <row r="18" spans="1:14" x14ac:dyDescent="0.2">
      <c r="A18" s="8" t="s">
        <v>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x14ac:dyDescent="0.2">
      <c r="A19" t="s">
        <v>8</v>
      </c>
      <c r="B19" s="9">
        <v>3848</v>
      </c>
      <c r="C19" s="9">
        <v>3848</v>
      </c>
      <c r="D19" s="9">
        <v>3848</v>
      </c>
      <c r="E19" s="9">
        <v>3848</v>
      </c>
      <c r="F19" s="9">
        <v>3848</v>
      </c>
      <c r="G19" s="9">
        <v>3848</v>
      </c>
      <c r="H19" s="9">
        <v>3848</v>
      </c>
      <c r="I19" s="9">
        <v>3848</v>
      </c>
      <c r="J19" s="9">
        <v>4233</v>
      </c>
      <c r="K19" s="9">
        <v>4233</v>
      </c>
      <c r="L19" s="9">
        <v>4233</v>
      </c>
      <c r="M19" s="9">
        <v>4233</v>
      </c>
      <c r="N19" s="18">
        <f>SUM(B19:M19)</f>
        <v>47716</v>
      </c>
    </row>
    <row r="20" spans="1:14" x14ac:dyDescent="0.2">
      <c r="A20" t="s">
        <v>9</v>
      </c>
      <c r="B20" s="9">
        <v>104</v>
      </c>
      <c r="C20" s="9">
        <v>104</v>
      </c>
      <c r="D20" s="9">
        <v>104</v>
      </c>
      <c r="E20" s="9">
        <v>104</v>
      </c>
      <c r="F20" s="9">
        <v>104</v>
      </c>
      <c r="G20" s="9">
        <v>104</v>
      </c>
      <c r="H20" s="9">
        <v>104</v>
      </c>
      <c r="I20" s="9">
        <v>104</v>
      </c>
      <c r="J20" s="9">
        <v>104</v>
      </c>
      <c r="K20" s="9">
        <v>104</v>
      </c>
      <c r="L20" s="9">
        <v>104</v>
      </c>
      <c r="M20" s="9">
        <v>102</v>
      </c>
      <c r="N20" s="14">
        <f t="shared" ref="N20:N21" si="3">SUM(B20:M20)</f>
        <v>1246</v>
      </c>
    </row>
    <row r="21" spans="1:14" x14ac:dyDescent="0.2">
      <c r="A21" t="s">
        <v>15</v>
      </c>
      <c r="B21" s="9">
        <v>602</v>
      </c>
      <c r="C21" s="9">
        <v>602</v>
      </c>
      <c r="D21" s="9">
        <v>602</v>
      </c>
      <c r="E21" s="9">
        <v>602</v>
      </c>
      <c r="F21" s="9">
        <v>602</v>
      </c>
      <c r="G21" s="9">
        <v>602</v>
      </c>
      <c r="H21" s="9">
        <v>602</v>
      </c>
      <c r="I21" s="9">
        <v>602</v>
      </c>
      <c r="J21" s="9">
        <v>602</v>
      </c>
      <c r="K21" s="9">
        <v>602</v>
      </c>
      <c r="L21" s="9">
        <v>602</v>
      </c>
      <c r="M21" s="9">
        <v>602</v>
      </c>
      <c r="N21" s="14">
        <f t="shared" si="3"/>
        <v>7224</v>
      </c>
    </row>
    <row r="22" spans="1:14" x14ac:dyDescent="0.2">
      <c r="A22" s="15" t="s">
        <v>14</v>
      </c>
      <c r="B22" s="16">
        <v>42</v>
      </c>
      <c r="C22" s="16">
        <v>42</v>
      </c>
      <c r="D22" s="16">
        <v>42</v>
      </c>
      <c r="E22" s="16">
        <v>42</v>
      </c>
      <c r="F22" s="16">
        <v>42</v>
      </c>
      <c r="G22" s="16">
        <v>42</v>
      </c>
      <c r="H22" s="16">
        <v>42</v>
      </c>
      <c r="I22" s="16">
        <v>42</v>
      </c>
      <c r="J22" s="16">
        <v>42</v>
      </c>
      <c r="K22" s="16">
        <v>42</v>
      </c>
      <c r="L22" s="16">
        <v>42</v>
      </c>
      <c r="M22" s="16">
        <v>42</v>
      </c>
      <c r="N22" s="17">
        <f>SUM(B22:M22)</f>
        <v>504</v>
      </c>
    </row>
    <row r="23" spans="1:14" x14ac:dyDescent="0.2">
      <c r="A23" s="5" t="s">
        <v>18</v>
      </c>
      <c r="B23" s="9">
        <f t="shared" ref="B23:L23" si="4">SUM(B19:B22)</f>
        <v>4596</v>
      </c>
      <c r="C23" s="9">
        <f t="shared" si="4"/>
        <v>4596</v>
      </c>
      <c r="D23" s="9">
        <f t="shared" si="4"/>
        <v>4596</v>
      </c>
      <c r="E23" s="9">
        <f t="shared" si="4"/>
        <v>4596</v>
      </c>
      <c r="F23" s="9">
        <f t="shared" si="4"/>
        <v>4596</v>
      </c>
      <c r="G23" s="9">
        <f t="shared" si="4"/>
        <v>4596</v>
      </c>
      <c r="H23" s="9">
        <f t="shared" si="4"/>
        <v>4596</v>
      </c>
      <c r="I23" s="9">
        <f t="shared" si="4"/>
        <v>4596</v>
      </c>
      <c r="J23" s="9">
        <f t="shared" si="4"/>
        <v>4981</v>
      </c>
      <c r="K23" s="9">
        <f t="shared" si="4"/>
        <v>4981</v>
      </c>
      <c r="L23" s="9">
        <f t="shared" si="4"/>
        <v>4981</v>
      </c>
      <c r="M23" s="9">
        <f t="shared" ref="M23" si="5">SUM(M19:M22)</f>
        <v>4979</v>
      </c>
      <c r="N23" s="14">
        <f>SUM(B23:M23)</f>
        <v>56690</v>
      </c>
    </row>
    <row r="24" spans="1:14" x14ac:dyDescent="0.2"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14"/>
    </row>
    <row r="25" spans="1:14" ht="17" thickBot="1" x14ac:dyDescent="0.25">
      <c r="A25" s="11" t="s">
        <v>19</v>
      </c>
      <c r="B25" s="12">
        <f>SUM(B16+B23)</f>
        <v>16350</v>
      </c>
      <c r="C25" s="12">
        <f t="shared" ref="C25:M25" si="6">SUM(C16+C23)</f>
        <v>16365</v>
      </c>
      <c r="D25" s="12">
        <f t="shared" si="6"/>
        <v>16514</v>
      </c>
      <c r="E25" s="12">
        <f t="shared" si="6"/>
        <v>17916</v>
      </c>
      <c r="F25" s="12">
        <f t="shared" si="6"/>
        <v>19304</v>
      </c>
      <c r="G25" s="12">
        <f t="shared" si="6"/>
        <v>16699</v>
      </c>
      <c r="H25" s="12">
        <f t="shared" si="6"/>
        <v>16741</v>
      </c>
      <c r="I25" s="12">
        <f t="shared" si="6"/>
        <v>16800</v>
      </c>
      <c r="J25" s="12">
        <f t="shared" si="6"/>
        <v>17099</v>
      </c>
      <c r="K25" s="12">
        <f t="shared" si="6"/>
        <v>17114</v>
      </c>
      <c r="L25" s="12">
        <f t="shared" si="6"/>
        <v>17250</v>
      </c>
      <c r="M25" s="12">
        <f t="shared" si="6"/>
        <v>17404</v>
      </c>
      <c r="N25" s="13">
        <f>SUM(N16+N23)</f>
        <v>205556</v>
      </c>
    </row>
    <row r="26" spans="1:14" ht="17" thickTop="1" x14ac:dyDescent="0.2"/>
  </sheetData>
  <mergeCells count="1">
    <mergeCell ref="B2:E3"/>
  </mergeCells>
  <pageMargins left="0.7" right="0.7" top="0.75" bottom="0.75" header="0.3" footer="0.3"/>
  <ignoredErrors>
    <ignoredError sqref="B16:M16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B0AA0-E4DA-9B41-AA68-7B62BB55E956}">
  <dimension ref="A1:N26"/>
  <sheetViews>
    <sheetView showGridLines="0" workbookViewId="0">
      <selection activeCell="A10" sqref="A10"/>
    </sheetView>
  </sheetViews>
  <sheetFormatPr baseColWidth="10" defaultRowHeight="16" x14ac:dyDescent="0.2"/>
  <cols>
    <col min="1" max="1" width="33.6640625" customWidth="1"/>
    <col min="2" max="14" width="12.83203125" customWidth="1"/>
  </cols>
  <sheetData>
    <row r="1" spans="1:14" ht="24" x14ac:dyDescent="0.3">
      <c r="A1" s="1"/>
      <c r="B1" s="2"/>
      <c r="C1" s="3"/>
      <c r="D1" s="3"/>
      <c r="E1" s="3"/>
      <c r="F1" s="3"/>
    </row>
    <row r="2" spans="1:14" x14ac:dyDescent="0.2">
      <c r="A2" s="1"/>
      <c r="B2" s="19" t="s">
        <v>2</v>
      </c>
      <c r="C2" s="19"/>
      <c r="D2" s="19"/>
      <c r="E2" s="19"/>
      <c r="G2" s="4"/>
    </row>
    <row r="3" spans="1:14" x14ac:dyDescent="0.2">
      <c r="A3" s="1"/>
      <c r="B3" s="19"/>
      <c r="C3" s="19"/>
      <c r="D3" s="19"/>
      <c r="E3" s="19"/>
      <c r="F3" s="3"/>
    </row>
    <row r="4" spans="1:14" x14ac:dyDescent="0.2">
      <c r="A4" s="1"/>
      <c r="B4" s="3" t="s">
        <v>0</v>
      </c>
      <c r="C4" s="5"/>
      <c r="D4" s="3"/>
      <c r="E4" s="3"/>
      <c r="F4" s="3"/>
    </row>
    <row r="5" spans="1:14" ht="24" x14ac:dyDescent="0.3">
      <c r="A5" s="2"/>
      <c r="B5" s="3"/>
      <c r="C5" s="2"/>
      <c r="D5" s="2"/>
      <c r="E5" s="2"/>
      <c r="F5" s="2"/>
    </row>
    <row r="6" spans="1:14" x14ac:dyDescent="0.2">
      <c r="A6" s="8" t="s">
        <v>3</v>
      </c>
      <c r="B6" s="6">
        <v>43101</v>
      </c>
      <c r="C6" s="6">
        <v>43132</v>
      </c>
      <c r="D6" s="6">
        <v>43160</v>
      </c>
      <c r="E6" s="6">
        <v>43191</v>
      </c>
      <c r="F6" s="6">
        <v>43221</v>
      </c>
      <c r="G6" s="6">
        <v>43252</v>
      </c>
      <c r="H6" s="6">
        <v>43282</v>
      </c>
      <c r="I6" s="6">
        <v>43313</v>
      </c>
      <c r="J6" s="6">
        <v>43344</v>
      </c>
      <c r="K6" s="6">
        <v>43374</v>
      </c>
      <c r="L6" s="6">
        <v>43405</v>
      </c>
      <c r="M6" s="6">
        <v>43435</v>
      </c>
      <c r="N6" s="7" t="s">
        <v>1</v>
      </c>
    </row>
    <row r="7" spans="1:14" x14ac:dyDescent="0.2">
      <c r="A7" t="s">
        <v>5</v>
      </c>
      <c r="B7" s="9">
        <v>1386</v>
      </c>
      <c r="C7" s="9">
        <v>1385</v>
      </c>
      <c r="D7" s="9">
        <v>1385</v>
      </c>
      <c r="E7" s="9">
        <v>1384</v>
      </c>
      <c r="F7" s="9">
        <v>1385</v>
      </c>
      <c r="G7" s="9">
        <v>1386</v>
      </c>
      <c r="H7" s="9">
        <v>1387</v>
      </c>
      <c r="I7" s="9">
        <v>1388</v>
      </c>
      <c r="J7" s="9">
        <v>1387</v>
      </c>
      <c r="K7" s="9">
        <v>1386</v>
      </c>
      <c r="L7" s="9">
        <v>1386</v>
      </c>
      <c r="M7" s="9">
        <v>1387</v>
      </c>
      <c r="N7" s="18">
        <f t="shared" ref="N7:N8" si="0">SUM(B7:M7)</f>
        <v>16632</v>
      </c>
    </row>
    <row r="8" spans="1:14" x14ac:dyDescent="0.2">
      <c r="A8" t="s">
        <v>6</v>
      </c>
      <c r="B8" s="9">
        <v>123</v>
      </c>
      <c r="C8" s="9">
        <v>122</v>
      </c>
      <c r="D8" s="9">
        <v>124</v>
      </c>
      <c r="E8" s="9">
        <v>122</v>
      </c>
      <c r="F8" s="9">
        <v>125</v>
      </c>
      <c r="G8" s="9">
        <v>126</v>
      </c>
      <c r="H8" s="9">
        <v>123</v>
      </c>
      <c r="I8" s="9">
        <v>122</v>
      </c>
      <c r="J8" s="9">
        <v>127</v>
      </c>
      <c r="K8" s="9">
        <v>122</v>
      </c>
      <c r="L8" s="9">
        <v>123</v>
      </c>
      <c r="M8" s="9">
        <v>122</v>
      </c>
      <c r="N8" s="14">
        <f t="shared" si="0"/>
        <v>1481</v>
      </c>
    </row>
    <row r="9" spans="1:14" x14ac:dyDescent="0.2">
      <c r="A9" t="s">
        <v>7</v>
      </c>
      <c r="B9" s="9">
        <v>6041</v>
      </c>
      <c r="C9" s="9">
        <v>6069</v>
      </c>
      <c r="D9" s="9">
        <v>6071</v>
      </c>
      <c r="E9" s="9">
        <v>6069</v>
      </c>
      <c r="F9" s="9">
        <v>6070</v>
      </c>
      <c r="G9" s="9">
        <v>6071</v>
      </c>
      <c r="H9" s="9">
        <v>6072</v>
      </c>
      <c r="I9" s="9">
        <v>6072</v>
      </c>
      <c r="J9" s="9">
        <v>6075</v>
      </c>
      <c r="K9" s="9">
        <v>6084</v>
      </c>
      <c r="L9" s="9">
        <v>6076</v>
      </c>
      <c r="M9" s="9">
        <v>6077</v>
      </c>
      <c r="N9" s="14">
        <f>SUM(B9:M9)</f>
        <v>72847</v>
      </c>
    </row>
    <row r="10" spans="1:14" x14ac:dyDescent="0.2">
      <c r="A10" t="s">
        <v>26</v>
      </c>
      <c r="B10" s="9">
        <v>3454</v>
      </c>
      <c r="C10" s="9">
        <v>3482</v>
      </c>
      <c r="D10" s="9">
        <v>3507</v>
      </c>
      <c r="E10" s="9">
        <v>4890</v>
      </c>
      <c r="F10" s="9">
        <v>6242</v>
      </c>
      <c r="G10" s="9">
        <v>3592</v>
      </c>
      <c r="H10" s="9">
        <v>3591</v>
      </c>
      <c r="I10" s="9">
        <v>3592</v>
      </c>
      <c r="J10" s="9">
        <v>3611</v>
      </c>
      <c r="K10" s="9">
        <v>3647</v>
      </c>
      <c r="L10" s="9">
        <v>3690</v>
      </c>
      <c r="M10" s="9">
        <v>3744</v>
      </c>
      <c r="N10" s="14">
        <f>SUM(B10:M10)</f>
        <v>47042</v>
      </c>
    </row>
    <row r="11" spans="1:14" x14ac:dyDescent="0.2">
      <c r="A11" t="s">
        <v>10</v>
      </c>
      <c r="B11" s="9">
        <v>165</v>
      </c>
      <c r="C11" s="9">
        <v>167</v>
      </c>
      <c r="D11" s="9">
        <v>210</v>
      </c>
      <c r="E11" s="9">
        <v>189</v>
      </c>
      <c r="F11" s="9">
        <v>168</v>
      </c>
      <c r="G11" s="9">
        <v>166</v>
      </c>
      <c r="H11" s="9">
        <v>165</v>
      </c>
      <c r="I11" s="9">
        <v>164</v>
      </c>
      <c r="J11" s="9">
        <v>168</v>
      </c>
      <c r="K11" s="9">
        <v>162</v>
      </c>
      <c r="L11" s="9">
        <v>143</v>
      </c>
      <c r="M11" s="9">
        <v>138</v>
      </c>
      <c r="N11" s="14">
        <f>SUM(B11:M11)</f>
        <v>2005</v>
      </c>
    </row>
    <row r="12" spans="1:14" x14ac:dyDescent="0.2">
      <c r="A12" t="s">
        <v>11</v>
      </c>
      <c r="B12" s="9">
        <v>371</v>
      </c>
      <c r="C12" s="9">
        <v>370</v>
      </c>
      <c r="D12" s="9">
        <v>370</v>
      </c>
      <c r="E12" s="9">
        <v>336</v>
      </c>
      <c r="F12" s="9">
        <v>335</v>
      </c>
      <c r="G12" s="9">
        <v>335</v>
      </c>
      <c r="H12" s="9">
        <v>334</v>
      </c>
      <c r="I12" s="9">
        <v>333</v>
      </c>
      <c r="J12" s="9">
        <v>333</v>
      </c>
      <c r="K12" s="9">
        <v>332</v>
      </c>
      <c r="L12" s="9">
        <v>332</v>
      </c>
      <c r="M12" s="9">
        <v>331</v>
      </c>
      <c r="N12" s="14">
        <f>SUM(B12:M12)</f>
        <v>4112</v>
      </c>
    </row>
    <row r="13" spans="1:14" x14ac:dyDescent="0.2">
      <c r="A13" t="s">
        <v>12</v>
      </c>
      <c r="B13" s="9">
        <v>154</v>
      </c>
      <c r="C13" s="9">
        <v>161</v>
      </c>
      <c r="D13" s="9">
        <v>158</v>
      </c>
      <c r="E13" s="9">
        <v>163</v>
      </c>
      <c r="F13" s="9">
        <v>160</v>
      </c>
      <c r="G13" s="9">
        <v>156</v>
      </c>
      <c r="H13" s="9">
        <v>155</v>
      </c>
      <c r="I13" s="9">
        <v>157</v>
      </c>
      <c r="J13" s="9">
        <v>162</v>
      </c>
      <c r="K13" s="9">
        <v>160</v>
      </c>
      <c r="L13" s="9">
        <v>161</v>
      </c>
      <c r="M13" s="9">
        <v>156</v>
      </c>
      <c r="N13" s="14">
        <f t="shared" ref="N13:N16" si="1">SUM(B13:M13)</f>
        <v>1903</v>
      </c>
    </row>
    <row r="14" spans="1:14" x14ac:dyDescent="0.2">
      <c r="A14" t="s">
        <v>13</v>
      </c>
      <c r="B14" s="9">
        <v>482</v>
      </c>
      <c r="C14" s="9">
        <v>485</v>
      </c>
      <c r="D14" s="9">
        <v>486</v>
      </c>
      <c r="E14" s="9">
        <v>413</v>
      </c>
      <c r="F14" s="9">
        <v>342</v>
      </c>
      <c r="G14" s="9">
        <v>412</v>
      </c>
      <c r="H14" s="9">
        <v>465</v>
      </c>
      <c r="I14" s="9">
        <v>495</v>
      </c>
      <c r="J14" s="9">
        <v>490</v>
      </c>
      <c r="K14" s="9">
        <v>520</v>
      </c>
      <c r="L14" s="9">
        <v>511</v>
      </c>
      <c r="M14" s="9">
        <v>484</v>
      </c>
      <c r="N14" s="14">
        <f t="shared" si="1"/>
        <v>5585</v>
      </c>
    </row>
    <row r="15" spans="1:14" x14ac:dyDescent="0.2">
      <c r="A15" s="15" t="s">
        <v>16</v>
      </c>
      <c r="B15" s="16">
        <v>112</v>
      </c>
      <c r="C15" s="16">
        <v>111</v>
      </c>
      <c r="D15" s="16">
        <v>113</v>
      </c>
      <c r="E15" s="16">
        <v>112</v>
      </c>
      <c r="F15" s="16">
        <v>111</v>
      </c>
      <c r="G15" s="16">
        <v>112</v>
      </c>
      <c r="H15" s="16">
        <v>112</v>
      </c>
      <c r="I15" s="16">
        <v>112</v>
      </c>
      <c r="J15" s="16">
        <v>111</v>
      </c>
      <c r="K15" s="16">
        <v>112</v>
      </c>
      <c r="L15" s="16">
        <v>111</v>
      </c>
      <c r="M15" s="16">
        <v>111</v>
      </c>
      <c r="N15" s="17">
        <f t="shared" si="1"/>
        <v>1340</v>
      </c>
    </row>
    <row r="16" spans="1:14" x14ac:dyDescent="0.2">
      <c r="A16" s="5" t="s">
        <v>17</v>
      </c>
      <c r="B16">
        <f>SUM(B7:B15)</f>
        <v>12288</v>
      </c>
      <c r="C16">
        <f t="shared" ref="C16:M16" si="2">SUM(C7:C15)</f>
        <v>12352</v>
      </c>
      <c r="D16">
        <f t="shared" si="2"/>
        <v>12424</v>
      </c>
      <c r="E16">
        <f t="shared" si="2"/>
        <v>13678</v>
      </c>
      <c r="F16">
        <f t="shared" si="2"/>
        <v>14938</v>
      </c>
      <c r="G16">
        <f t="shared" si="2"/>
        <v>12356</v>
      </c>
      <c r="H16">
        <f t="shared" si="2"/>
        <v>12404</v>
      </c>
      <c r="I16">
        <f t="shared" si="2"/>
        <v>12435</v>
      </c>
      <c r="J16">
        <f t="shared" si="2"/>
        <v>12464</v>
      </c>
      <c r="K16">
        <f t="shared" si="2"/>
        <v>12525</v>
      </c>
      <c r="L16">
        <f t="shared" si="2"/>
        <v>12533</v>
      </c>
      <c r="M16">
        <f t="shared" si="2"/>
        <v>12550</v>
      </c>
      <c r="N16" s="14">
        <f t="shared" si="1"/>
        <v>152947</v>
      </c>
    </row>
    <row r="17" spans="1:14" x14ac:dyDescent="0.2"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14"/>
    </row>
    <row r="18" spans="1:14" x14ac:dyDescent="0.2">
      <c r="A18" s="8" t="s">
        <v>4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7"/>
    </row>
    <row r="19" spans="1:14" x14ac:dyDescent="0.2">
      <c r="A19" t="s">
        <v>8</v>
      </c>
      <c r="B19" s="9">
        <v>4233</v>
      </c>
      <c r="C19" s="9">
        <v>4233</v>
      </c>
      <c r="D19" s="9">
        <v>4233</v>
      </c>
      <c r="E19" s="9">
        <v>4233</v>
      </c>
      <c r="F19" s="9">
        <v>4233</v>
      </c>
      <c r="G19" s="9">
        <v>4233</v>
      </c>
      <c r="H19" s="9">
        <v>4233</v>
      </c>
      <c r="I19" s="9">
        <v>4233</v>
      </c>
      <c r="J19" s="9">
        <v>4656</v>
      </c>
      <c r="K19" s="9">
        <v>4656</v>
      </c>
      <c r="L19" s="9">
        <v>4656</v>
      </c>
      <c r="M19" s="9">
        <v>4656</v>
      </c>
      <c r="N19" s="18">
        <f>SUM(B19:M19)</f>
        <v>52488</v>
      </c>
    </row>
    <row r="20" spans="1:14" x14ac:dyDescent="0.2">
      <c r="A20" s="9" t="s">
        <v>9</v>
      </c>
      <c r="B20" s="9">
        <v>102</v>
      </c>
      <c r="C20" s="9">
        <v>102</v>
      </c>
      <c r="D20" s="9">
        <v>102</v>
      </c>
      <c r="E20" s="9">
        <v>102</v>
      </c>
      <c r="F20" s="9">
        <v>102</v>
      </c>
      <c r="G20" s="9">
        <v>102</v>
      </c>
      <c r="H20" s="9">
        <v>102</v>
      </c>
      <c r="I20" s="9">
        <v>102</v>
      </c>
      <c r="J20" s="9">
        <v>102</v>
      </c>
      <c r="K20" s="9">
        <v>102</v>
      </c>
      <c r="L20" s="9">
        <v>102</v>
      </c>
      <c r="M20" s="9">
        <v>102</v>
      </c>
      <c r="N20" s="14">
        <f t="shared" ref="N20:N22" si="3">SUM(B20:M20)</f>
        <v>1224</v>
      </c>
    </row>
    <row r="21" spans="1:14" x14ac:dyDescent="0.2">
      <c r="A21" s="9" t="s">
        <v>15</v>
      </c>
      <c r="B21" s="9">
        <v>603</v>
      </c>
      <c r="C21" s="9">
        <v>603</v>
      </c>
      <c r="D21" s="9">
        <v>603</v>
      </c>
      <c r="E21" s="9">
        <v>603</v>
      </c>
      <c r="F21" s="9">
        <v>603</v>
      </c>
      <c r="G21" s="9">
        <v>603</v>
      </c>
      <c r="H21" s="9">
        <v>603</v>
      </c>
      <c r="I21" s="9">
        <v>603</v>
      </c>
      <c r="J21" s="9">
        <v>603</v>
      </c>
      <c r="K21" s="9">
        <v>603</v>
      </c>
      <c r="L21" s="9">
        <v>603</v>
      </c>
      <c r="M21" s="9">
        <v>603</v>
      </c>
      <c r="N21" s="14">
        <f t="shared" si="3"/>
        <v>7236</v>
      </c>
    </row>
    <row r="22" spans="1:14" x14ac:dyDescent="0.2">
      <c r="A22" s="16" t="s">
        <v>14</v>
      </c>
      <c r="B22" s="16">
        <v>43</v>
      </c>
      <c r="C22" s="16">
        <v>43</v>
      </c>
      <c r="D22" s="16">
        <v>43</v>
      </c>
      <c r="E22" s="16">
        <v>43</v>
      </c>
      <c r="F22" s="16">
        <v>43</v>
      </c>
      <c r="G22" s="16">
        <v>43</v>
      </c>
      <c r="H22" s="16">
        <v>43</v>
      </c>
      <c r="I22" s="16">
        <v>43</v>
      </c>
      <c r="J22" s="16">
        <v>43</v>
      </c>
      <c r="K22" s="16">
        <v>43</v>
      </c>
      <c r="L22" s="16">
        <v>43</v>
      </c>
      <c r="M22" s="16">
        <v>43</v>
      </c>
      <c r="N22" s="17">
        <f t="shared" si="3"/>
        <v>516</v>
      </c>
    </row>
    <row r="23" spans="1:14" x14ac:dyDescent="0.2">
      <c r="A23" s="5" t="s">
        <v>18</v>
      </c>
      <c r="B23" s="10">
        <f>SUM(B19:B22)</f>
        <v>4981</v>
      </c>
      <c r="C23" s="10">
        <f t="shared" ref="C23:M23" si="4">SUM(C19:C22)</f>
        <v>4981</v>
      </c>
      <c r="D23" s="10">
        <f t="shared" si="4"/>
        <v>4981</v>
      </c>
      <c r="E23" s="10">
        <f t="shared" si="4"/>
        <v>4981</v>
      </c>
      <c r="F23" s="10">
        <f t="shared" si="4"/>
        <v>4981</v>
      </c>
      <c r="G23" s="10">
        <f t="shared" si="4"/>
        <v>4981</v>
      </c>
      <c r="H23" s="10">
        <f t="shared" si="4"/>
        <v>4981</v>
      </c>
      <c r="I23" s="10">
        <f t="shared" si="4"/>
        <v>4981</v>
      </c>
      <c r="J23" s="10">
        <f t="shared" si="4"/>
        <v>5404</v>
      </c>
      <c r="K23" s="10">
        <f t="shared" si="4"/>
        <v>5404</v>
      </c>
      <c r="L23" s="10">
        <f t="shared" si="4"/>
        <v>5404</v>
      </c>
      <c r="M23" s="10">
        <f t="shared" si="4"/>
        <v>5404</v>
      </c>
      <c r="N23" s="14">
        <f>SUM(B23:M23)</f>
        <v>61464</v>
      </c>
    </row>
    <row r="24" spans="1:14" x14ac:dyDescent="0.2">
      <c r="N24" s="14"/>
    </row>
    <row r="25" spans="1:14" ht="17" thickBot="1" x14ac:dyDescent="0.25">
      <c r="A25" s="11" t="s">
        <v>19</v>
      </c>
      <c r="B25" s="12">
        <f t="shared" ref="B25:M25" si="5">SUM(B7:B22)</f>
        <v>29557</v>
      </c>
      <c r="C25" s="12">
        <f t="shared" si="5"/>
        <v>29685</v>
      </c>
      <c r="D25" s="12">
        <f t="shared" si="5"/>
        <v>29829</v>
      </c>
      <c r="E25" s="12">
        <f t="shared" si="5"/>
        <v>32337</v>
      </c>
      <c r="F25" s="12">
        <f t="shared" si="5"/>
        <v>34857</v>
      </c>
      <c r="G25" s="12">
        <f t="shared" si="5"/>
        <v>29693</v>
      </c>
      <c r="H25" s="12">
        <f t="shared" si="5"/>
        <v>29789</v>
      </c>
      <c r="I25" s="12">
        <f t="shared" si="5"/>
        <v>29851</v>
      </c>
      <c r="J25" s="12">
        <f t="shared" si="5"/>
        <v>30332</v>
      </c>
      <c r="K25" s="12">
        <f t="shared" si="5"/>
        <v>30454</v>
      </c>
      <c r="L25" s="12">
        <f t="shared" si="5"/>
        <v>30470</v>
      </c>
      <c r="M25" s="12">
        <f t="shared" si="5"/>
        <v>30504</v>
      </c>
      <c r="N25" s="13">
        <f>SUM(N16:N17,N23)</f>
        <v>214411</v>
      </c>
    </row>
    <row r="26" spans="1:14" ht="17" thickTop="1" x14ac:dyDescent="0.2"/>
  </sheetData>
  <mergeCells count="1">
    <mergeCell ref="B2:E3"/>
  </mergeCells>
  <pageMargins left="0.7" right="0.7" top="0.75" bottom="0.75" header="0.3" footer="0.3"/>
  <ignoredErrors>
    <ignoredError sqref="B16 C16:M16" formulaRange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EDDF5-52F3-C344-A76C-6DFB36BF7D3F}">
  <dimension ref="A2:A10"/>
  <sheetViews>
    <sheetView workbookViewId="0">
      <selection activeCell="A24" sqref="A24"/>
    </sheetView>
  </sheetViews>
  <sheetFormatPr baseColWidth="10" defaultRowHeight="16" x14ac:dyDescent="0.2"/>
  <cols>
    <col min="1" max="1" width="53" customWidth="1"/>
  </cols>
  <sheetData>
    <row r="2" spans="1:1" ht="64" customHeight="1" x14ac:dyDescent="0.2">
      <c r="A2" s="21" t="s">
        <v>20</v>
      </c>
    </row>
    <row r="4" spans="1:1" x14ac:dyDescent="0.2">
      <c r="A4" s="20" t="s">
        <v>21</v>
      </c>
    </row>
    <row r="5" spans="1:1" x14ac:dyDescent="0.2">
      <c r="A5" s="20" t="s">
        <v>22</v>
      </c>
    </row>
    <row r="6" spans="1:1" x14ac:dyDescent="0.2">
      <c r="A6" s="20" t="s">
        <v>23</v>
      </c>
    </row>
    <row r="7" spans="1:1" x14ac:dyDescent="0.2">
      <c r="A7" s="20" t="s">
        <v>24</v>
      </c>
    </row>
    <row r="8" spans="1:1" x14ac:dyDescent="0.2">
      <c r="A8" s="20" t="s">
        <v>25</v>
      </c>
    </row>
    <row r="10" spans="1:1" x14ac:dyDescent="0.2">
      <c r="A10" s="2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2017</vt:lpstr>
      <vt:lpstr>2018</vt:lpstr>
      <vt:lpstr>About this document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2020-01-13T18:40:20Z</dcterms:created>
  <dcterms:modified xsi:type="dcterms:W3CDTF">2020-01-16T23:59:15Z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42aa342-8706-4288-bd11-ebb85995028c_Enabled">
    <vt:lpwstr>true</vt:lpwstr>
  </property>
  <property fmtid="{D5CDD505-2E9C-101B-9397-08002B2CF9AE}" pid="3" name="MSIP_Label_f42aa342-8706-4288-bd11-ebb85995028c_SetDate">
    <vt:lpwstr>2020-01-13T18:40:21Z</vt:lpwstr>
  </property>
  <property fmtid="{D5CDD505-2E9C-101B-9397-08002B2CF9AE}" pid="4" name="MSIP_Label_f42aa342-8706-4288-bd11-ebb85995028c_Method">
    <vt:lpwstr>Standard</vt:lpwstr>
  </property>
  <property fmtid="{D5CDD505-2E9C-101B-9397-08002B2CF9AE}" pid="5" name="MSIP_Label_f42aa342-8706-4288-bd11-ebb85995028c_Name">
    <vt:lpwstr>Internal</vt:lpwstr>
  </property>
  <property fmtid="{D5CDD505-2E9C-101B-9397-08002B2CF9AE}" pid="6" name="MSIP_Label_f42aa342-8706-4288-bd11-ebb85995028c_SiteId">
    <vt:lpwstr>72f988bf-86f1-41af-91ab-2d7cd011db47</vt:lpwstr>
  </property>
  <property fmtid="{D5CDD505-2E9C-101B-9397-08002B2CF9AE}" pid="7" name="MSIP_Label_f42aa342-8706-4288-bd11-ebb85995028c_ActionId">
    <vt:lpwstr>1f81de9d-cc99-4c44-955b-00007726b478</vt:lpwstr>
  </property>
  <property fmtid="{D5CDD505-2E9C-101B-9397-08002B2CF9AE}" pid="8" name="MSIP_Label_f42aa342-8706-4288-bd11-ebb85995028c_ContentBits">
    <vt:lpwstr>0</vt:lpwstr>
  </property>
</Properties>
</file>