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22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mteachmc/Downloads/"/>
    </mc:Choice>
  </mc:AlternateContent>
  <xr:revisionPtr revIDLastSave="0" documentId="13_ncr:1_{A2594973-93E4-4249-ADD2-88FC2ADE482B}" xr6:coauthVersionLast="47" xr6:coauthVersionMax="47" xr10:uidLastSave="{00000000-0000-0000-0000-000000000000}"/>
  <bookViews>
    <workbookView xWindow="0" yWindow="760" windowWidth="26480" windowHeight="16660" tabRatio="500" activeTab="2" xr2:uid="{00000000-000D-0000-FFFF-FFFF00000000}"/>
  </bookViews>
  <sheets>
    <sheet name="Sales Revenue" sheetId="1" r:id="rId1"/>
    <sheet name="Revenue Chart" sheetId="4" r:id="rId2"/>
    <sheet name="Inventory" sheetId="5" r:id="rId3"/>
    <sheet name="Inventory Chart" sheetId="7" r:id="rId4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G51" i="5" l="1"/>
  <c r="G46" i="5"/>
  <c r="G53" i="5"/>
  <c r="G45" i="5"/>
  <c r="G52" i="5"/>
  <c r="G47" i="5"/>
  <c r="G48" i="5"/>
  <c r="G49" i="5"/>
  <c r="G50" i="5"/>
  <c r="G75" i="5"/>
  <c r="G73" i="5"/>
  <c r="G67" i="5"/>
  <c r="G65" i="5"/>
  <c r="G72" i="5"/>
  <c r="G74" i="5"/>
  <c r="G66" i="5"/>
  <c r="G68" i="5"/>
  <c r="G70" i="5"/>
  <c r="G71" i="5"/>
  <c r="G69" i="5"/>
  <c r="G6" i="5"/>
  <c r="G7" i="5"/>
  <c r="G83" i="5"/>
  <c r="G82" i="5"/>
  <c r="G81" i="5"/>
  <c r="G76" i="5"/>
  <c r="G80" i="5"/>
  <c r="G77" i="5"/>
  <c r="G78" i="5"/>
  <c r="G79" i="5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B12" i="7"/>
  <c r="B12" i="4"/>
  <c r="G3" i="5"/>
  <c r="G4" i="5"/>
  <c r="G5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54" i="5"/>
  <c r="G55" i="5"/>
  <c r="G56" i="5"/>
  <c r="G57" i="5"/>
  <c r="G58" i="5"/>
  <c r="G59" i="5"/>
  <c r="G60" i="5"/>
  <c r="G61" i="5"/>
  <c r="G62" i="5"/>
  <c r="G63" i="5"/>
  <c r="G64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2" i="5"/>
  <c r="G8" i="1"/>
  <c r="G4" i="1"/>
  <c r="G66" i="1"/>
  <c r="G32" i="1"/>
  <c r="G71" i="1"/>
  <c r="G28" i="1"/>
  <c r="G39" i="1"/>
  <c r="G21" i="1"/>
  <c r="G55" i="1"/>
  <c r="G53" i="1"/>
  <c r="G27" i="1"/>
  <c r="G52" i="1"/>
  <c r="G65" i="1"/>
  <c r="G60" i="1"/>
  <c r="G16" i="1"/>
  <c r="G18" i="1"/>
  <c r="G12" i="1"/>
  <c r="G62" i="1"/>
  <c r="G67" i="1"/>
  <c r="G2" i="1"/>
  <c r="G68" i="1"/>
  <c r="G13" i="1"/>
  <c r="G58" i="1"/>
  <c r="G15" i="1"/>
  <c r="G14" i="1"/>
  <c r="G54" i="1"/>
  <c r="G46" i="1"/>
  <c r="G42" i="1"/>
  <c r="G44" i="1"/>
  <c r="G37" i="1"/>
  <c r="G45" i="1"/>
  <c r="G36" i="1"/>
  <c r="G69" i="1"/>
  <c r="G35" i="1"/>
  <c r="G23" i="1"/>
  <c r="G26" i="1"/>
  <c r="G24" i="1"/>
  <c r="G47" i="1"/>
  <c r="G50" i="1"/>
  <c r="G22" i="1"/>
  <c r="G63" i="1"/>
  <c r="G30" i="1"/>
  <c r="G38" i="1"/>
  <c r="G29" i="1"/>
  <c r="G7" i="1"/>
  <c r="G11" i="1"/>
  <c r="G5" i="1"/>
  <c r="G6" i="1"/>
  <c r="G19" i="1"/>
  <c r="G40" i="1"/>
  <c r="G70" i="1"/>
  <c r="G59" i="1"/>
  <c r="G33" i="1"/>
  <c r="G41" i="1"/>
  <c r="G43" i="1"/>
  <c r="G3" i="1"/>
  <c r="G31" i="1"/>
  <c r="G9" i="1"/>
  <c r="G34" i="1"/>
  <c r="G56" i="1"/>
  <c r="G20" i="1"/>
  <c r="G17" i="1"/>
  <c r="G57" i="1"/>
  <c r="G51" i="1"/>
  <c r="G25" i="1"/>
  <c r="G48" i="1"/>
  <c r="G49" i="1"/>
  <c r="G64" i="1"/>
  <c r="G61" i="1"/>
  <c r="G10" i="1"/>
</calcChain>
</file>

<file path=xl/sharedStrings.xml><?xml version="1.0" encoding="utf-8"?>
<sst xmlns="http://schemas.openxmlformats.org/spreadsheetml/2006/main" count="640" uniqueCount="225">
  <si>
    <t>Category</t>
  </si>
  <si>
    <t>Price</t>
  </si>
  <si>
    <t>In Stock</t>
  </si>
  <si>
    <t>Sold</t>
  </si>
  <si>
    <t>Revenue</t>
  </si>
  <si>
    <t xml:space="preserve"> Total</t>
  </si>
  <si>
    <t>Training Videos</t>
  </si>
  <si>
    <t>Drone Kits</t>
  </si>
  <si>
    <t>Drones</t>
  </si>
  <si>
    <t>Blueprints</t>
  </si>
  <si>
    <t>Robots</t>
  </si>
  <si>
    <t>Robot Kits</t>
  </si>
  <si>
    <t>Robot kits</t>
  </si>
  <si>
    <t>eBooks</t>
  </si>
  <si>
    <t>Building Your First Robot</t>
  </si>
  <si>
    <t>Building Your Own Drone</t>
  </si>
  <si>
    <t xml:space="preserve">QuadroCopter Blueprint </t>
  </si>
  <si>
    <t xml:space="preserve">Creature Robot Arms Blueprint </t>
  </si>
  <si>
    <t>Sleepy Eye Blueprint</t>
  </si>
  <si>
    <t>Bsquare Robot Blueprint</t>
  </si>
  <si>
    <t>Panda Robot Blueprint</t>
  </si>
  <si>
    <t>Cat Robot Blueprint</t>
  </si>
  <si>
    <t>All Eyes Drone Blueprint</t>
  </si>
  <si>
    <t>Upside Down Robot Blueprint</t>
  </si>
  <si>
    <t>Ladybug Robot Blueprint</t>
  </si>
  <si>
    <t>Drone Building Essentials</t>
  </si>
  <si>
    <t>Understanding Arduino</t>
  </si>
  <si>
    <t>Understanding Artificial Intelligence</t>
  </si>
  <si>
    <t>Polar Robots</t>
  </si>
  <si>
    <t>Articulated Robots</t>
  </si>
  <si>
    <t>SCARA Robots</t>
  </si>
  <si>
    <t>Delta Robots</t>
  </si>
  <si>
    <t>Spherical Robots</t>
  </si>
  <si>
    <t>Cartesian Robots</t>
  </si>
  <si>
    <t>Hexacopter Drone Blueprint</t>
  </si>
  <si>
    <t>Fixed Wing Drones</t>
  </si>
  <si>
    <t>Multi Rotor Drones</t>
  </si>
  <si>
    <t>Single Rotor Drones</t>
  </si>
  <si>
    <t>GPS Drones</t>
  </si>
  <si>
    <t>Helicopter Drones</t>
  </si>
  <si>
    <t>RTF Drones</t>
  </si>
  <si>
    <t>Delivery Drones</t>
  </si>
  <si>
    <t>Photograph Drones</t>
  </si>
  <si>
    <t>DX-145 Drone</t>
  </si>
  <si>
    <t>DC-304 Drone</t>
  </si>
  <si>
    <t>Virtual Reality Basics</t>
  </si>
  <si>
    <t>Cloud Computing</t>
  </si>
  <si>
    <t>Open Source Code</t>
  </si>
  <si>
    <t>MICR-564K Drone</t>
  </si>
  <si>
    <t>Aerial Security</t>
  </si>
  <si>
    <t>Drone Video Techniques</t>
  </si>
  <si>
    <t>Mapping with Drones</t>
  </si>
  <si>
    <t>Robotic Essentials</t>
  </si>
  <si>
    <t>Understanding 3D Printing</t>
  </si>
  <si>
    <t>Understanding Automation</t>
  </si>
  <si>
    <t>AI for Educators</t>
  </si>
  <si>
    <t>Understanding Drone Regulations</t>
  </si>
  <si>
    <t xml:space="preserve">Industrial 3D Printing </t>
  </si>
  <si>
    <t>Understanding Raspberry PI</t>
  </si>
  <si>
    <t>BYOD-100</t>
  </si>
  <si>
    <t>BYOD-200</t>
  </si>
  <si>
    <t>BYOD-220</t>
  </si>
  <si>
    <t>BYOD-300</t>
  </si>
  <si>
    <t>BYOD-350</t>
  </si>
  <si>
    <t>BYOD-400</t>
  </si>
  <si>
    <t>BYOD-400S</t>
  </si>
  <si>
    <t>BYOD-500</t>
  </si>
  <si>
    <t>BYOD-550</t>
  </si>
  <si>
    <t>BYOR-1000</t>
  </si>
  <si>
    <t>BYOR-1500</t>
  </si>
  <si>
    <t>BYOR-2640S</t>
  </si>
  <si>
    <t>BYOR-3000</t>
  </si>
  <si>
    <t>BYOR-3535</t>
  </si>
  <si>
    <t>BYOR-4005</t>
  </si>
  <si>
    <t>DTE-QFN20 Drone</t>
  </si>
  <si>
    <t>DA-SA702 Drone</t>
  </si>
  <si>
    <t>DTD-7000 Drone</t>
  </si>
  <si>
    <t>DTI-84 Drone</t>
  </si>
  <si>
    <t>Total revenue</t>
  </si>
  <si>
    <t>RCB-889 Robot</t>
  </si>
  <si>
    <t>RXW-9807 Robot</t>
  </si>
  <si>
    <t>RQTE-554 Robot</t>
  </si>
  <si>
    <t>RLK-9920 Robot</t>
  </si>
  <si>
    <t>RWW-75 Robot</t>
  </si>
  <si>
    <t>MICR-23K Robot</t>
  </si>
  <si>
    <t>Retail Price</t>
  </si>
  <si>
    <t>Cost</t>
  </si>
  <si>
    <t>Inventory on Hand</t>
  </si>
  <si>
    <t>ProdCategory</t>
  </si>
  <si>
    <t>ProdNumber</t>
  </si>
  <si>
    <t>ProdName</t>
  </si>
  <si>
    <t>BP101</t>
  </si>
  <si>
    <t>BP102</t>
  </si>
  <si>
    <t>BP104</t>
  </si>
  <si>
    <t>BP105</t>
  </si>
  <si>
    <t>BP106</t>
  </si>
  <si>
    <t>BP107</t>
  </si>
  <si>
    <t>BP108</t>
  </si>
  <si>
    <t>BP109</t>
  </si>
  <si>
    <t>BP110</t>
  </si>
  <si>
    <t>DK201</t>
  </si>
  <si>
    <t>DK202</t>
  </si>
  <si>
    <t>DK203</t>
  </si>
  <si>
    <t>DK204</t>
  </si>
  <si>
    <t>DK205</t>
  </si>
  <si>
    <t>DK206</t>
  </si>
  <si>
    <t>DK207</t>
  </si>
  <si>
    <t>DK208</t>
  </si>
  <si>
    <t>DK209</t>
  </si>
  <si>
    <t>DS301</t>
  </si>
  <si>
    <t>DS302</t>
  </si>
  <si>
    <t>DS303</t>
  </si>
  <si>
    <t>DS304</t>
  </si>
  <si>
    <t>DS305</t>
  </si>
  <si>
    <t>DS306</t>
  </si>
  <si>
    <t>DS307</t>
  </si>
  <si>
    <t>EB501</t>
  </si>
  <si>
    <t>EB502</t>
  </si>
  <si>
    <t>EB503</t>
  </si>
  <si>
    <t>EB504</t>
  </si>
  <si>
    <t>EB505</t>
  </si>
  <si>
    <t>EB506</t>
  </si>
  <si>
    <t>EB507</t>
  </si>
  <si>
    <t>EB508</t>
  </si>
  <si>
    <t>EB509</t>
  </si>
  <si>
    <t>EB511</t>
  </si>
  <si>
    <t>EB512</t>
  </si>
  <si>
    <t>EB513</t>
  </si>
  <si>
    <t>EB514</t>
  </si>
  <si>
    <t>EB516</t>
  </si>
  <si>
    <t>EB517</t>
  </si>
  <si>
    <t>EB518</t>
  </si>
  <si>
    <t>EB519</t>
  </si>
  <si>
    <t>EB520</t>
  </si>
  <si>
    <t>EB521</t>
  </si>
  <si>
    <t>RK602</t>
  </si>
  <si>
    <t>RK603</t>
  </si>
  <si>
    <t>RK604</t>
  </si>
  <si>
    <t>RK605</t>
  </si>
  <si>
    <t>RK606</t>
  </si>
  <si>
    <t>RK607</t>
  </si>
  <si>
    <t>RS702</t>
  </si>
  <si>
    <t>RS703</t>
  </si>
  <si>
    <t>RS704</t>
  </si>
  <si>
    <t>RS705</t>
  </si>
  <si>
    <t>RS706</t>
  </si>
  <si>
    <t>RS707</t>
  </si>
  <si>
    <t>TV801</t>
  </si>
  <si>
    <t>TV802</t>
  </si>
  <si>
    <t>TV803</t>
  </si>
  <si>
    <t>TV804</t>
  </si>
  <si>
    <t>TV805</t>
  </si>
  <si>
    <t>TV806</t>
  </si>
  <si>
    <t>TV807</t>
  </si>
  <si>
    <t>TV808</t>
  </si>
  <si>
    <t>TV809</t>
  </si>
  <si>
    <t>TV810</t>
  </si>
  <si>
    <t>TV811</t>
  </si>
  <si>
    <t>TV812</t>
  </si>
  <si>
    <t>TV813</t>
  </si>
  <si>
    <t>BP111</t>
  </si>
  <si>
    <t>Hardware</t>
  </si>
  <si>
    <t>HW401</t>
  </si>
  <si>
    <t>InfraRED Smart Mouse</t>
  </si>
  <si>
    <t>HW402</t>
  </si>
  <si>
    <t>InfraRED Smart Keyboard</t>
  </si>
  <si>
    <t>HW403</t>
  </si>
  <si>
    <t>InfraRED Smart Trackpad</t>
  </si>
  <si>
    <t>HW404</t>
  </si>
  <si>
    <t>InfraRED Smart Charging Base</t>
  </si>
  <si>
    <t>HW405</t>
  </si>
  <si>
    <t>InfraRED Smart Printer</t>
  </si>
  <si>
    <t>HW406</t>
  </si>
  <si>
    <t>InfraRED Smart Monitor 25"</t>
  </si>
  <si>
    <t>HW407</t>
  </si>
  <si>
    <t>InfraRED Smart Monitor 27"</t>
  </si>
  <si>
    <t>HW408</t>
  </si>
  <si>
    <t>InfraRED Smart Monitor 30"</t>
  </si>
  <si>
    <t>HW409</t>
  </si>
  <si>
    <t>InfraRED Smart Monitor 32"</t>
  </si>
  <si>
    <t>Smart Home</t>
  </si>
  <si>
    <t>SM101</t>
  </si>
  <si>
    <t>RED Smart Thermostat</t>
  </si>
  <si>
    <t>SM102</t>
  </si>
  <si>
    <t>RED Smart Plug</t>
  </si>
  <si>
    <t>SM103</t>
  </si>
  <si>
    <t>RED Smart Doorbell</t>
  </si>
  <si>
    <t>SM104</t>
  </si>
  <si>
    <t>RED Smart Camera</t>
  </si>
  <si>
    <t>SM105</t>
  </si>
  <si>
    <t>RED Smart Outdoor Camera</t>
  </si>
  <si>
    <t>SM106</t>
  </si>
  <si>
    <t>RED Smart Switch</t>
  </si>
  <si>
    <t>SM107</t>
  </si>
  <si>
    <t>RED Smart Dimmable Switch</t>
  </si>
  <si>
    <t>SM108</t>
  </si>
  <si>
    <t>RED Smart Hub</t>
  </si>
  <si>
    <t>SM109</t>
  </si>
  <si>
    <t>RED Smart Hub Display 5"</t>
  </si>
  <si>
    <t>SM110</t>
  </si>
  <si>
    <t>RED Smart Hub Display 8"</t>
  </si>
  <si>
    <t>SM111</t>
  </si>
  <si>
    <t>RED Smart Hub Display 12'</t>
  </si>
  <si>
    <t>Software</t>
  </si>
  <si>
    <t>SW901</t>
  </si>
  <si>
    <t>Banking Solutions</t>
  </si>
  <si>
    <t>SW902</t>
  </si>
  <si>
    <t>Banking Solutions for Business</t>
  </si>
  <si>
    <t>SW903</t>
  </si>
  <si>
    <t>Red30 Virus Protection - PC</t>
  </si>
  <si>
    <t>SW904</t>
  </si>
  <si>
    <t>Red30 Virus Protection - MAC</t>
  </si>
  <si>
    <t>SW905</t>
  </si>
  <si>
    <t>Red30 Virus Protection - Business Pro</t>
  </si>
  <si>
    <t>SW906</t>
  </si>
  <si>
    <t>Red30 Architect</t>
  </si>
  <si>
    <t>SW907</t>
  </si>
  <si>
    <t>Red30 Sound Studio</t>
  </si>
  <si>
    <t>SW908</t>
  </si>
  <si>
    <t>Red30 Home</t>
  </si>
  <si>
    <t>SW909</t>
  </si>
  <si>
    <t>Red30 Professional</t>
  </si>
  <si>
    <t>SW910</t>
  </si>
  <si>
    <t>RED30 Project</t>
  </si>
  <si>
    <t>Smart home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</si>
</sst>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7" x14ac:knownFonts="1">
    <font>
      <sz val="12"/>
      <color theme="1"/>
      <name val="Calibri"/>
      <family val="2"/>
      <scheme val="minor"/>
    </font>
    <font>
      <sz val="12"/>
      <color theme="1"/>
      <name val="Arial"/>
      <family val="2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double">
        <color indexed="64"/>
      </bottom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12">
    <xf numFmtId="0" fontId="0" fillId="0" borderId="0" xfId="0"/>
    <xf numFmtId="164" fontId="0" fillId="0" borderId="0" xfId="0" applyNumberFormat="1"/>
    <xf numFmtId="0" fontId="1" fillId="0" borderId="0" xfId="0" applyFont="1"/>
    <xf numFmtId="164" fontId="1" fillId="0" borderId="0" xfId="0" applyNumberFormat="1" applyFont="1"/>
    <xf numFmtId="0" fontId="0" fillId="0" borderId="0" xfId="0" applyAlignment="1">
      <alignment horizontal="left"/>
    </xf>
    <xf numFmtId="0" fontId="4" fillId="0" borderId="0" xfId="0" applyFont="1" applyAlignment="1">
      <alignment horizontal="left" vertical="top"/>
    </xf>
    <xf numFmtId="164" fontId="4" fillId="0" borderId="0" xfId="0" applyNumberFormat="1" applyFont="1" applyAlignment="1">
      <alignment horizontal="left" vertical="top"/>
    </xf>
    <xf numFmtId="0" fontId="5" fillId="0" borderId="0" xfId="0" applyFont="1"/>
    <xf numFmtId="164" fontId="6" fillId="0" borderId="0" xfId="0" applyNumberFormat="1" applyFont="1" applyAlignment="1">
      <alignment horizontal="left" vertical="top"/>
    </xf>
    <xf numFmtId="0" fontId="6" fillId="0" borderId="0" xfId="0" applyFont="1" applyAlignment="1">
      <alignment horizontal="left" vertical="top"/>
    </xf>
    <xf numFmtId="0" fontId="0" fillId="0" borderId="1" xfId="0" applyBorder="1" applyAlignment="1">
      <alignment horizontal="left"/>
    </xf>
    <xf numFmtId="164" fontId="0" fillId="0" borderId="1" xfId="0" applyNumberFormat="1" applyBorder="1"/>
  </cellXfs>
  <cellStyles count="5">
    <cellStyle name="Followed Hyperlink" xfId="2" builtinId="9" hidden="1"/>
    <cellStyle name="Followed Hyperlink" xfId="4" builtinId="9" hidden="1"/>
    <cellStyle name="Hyperlink" xfId="1" builtinId="8" hidden="1"/>
    <cellStyle name="Hyperlink" xfId="3" builtinId="8" hidden="1"/>
    <cellStyle name="Normal" xfId="0" builtinId="0"/>
  </cellStyles>
  <dxfs count="16">
    <dxf>
      <numFmt numFmtId="164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164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164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164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164" formatCode="_([$$-409]* #,##0.00_);_([$$-409]* \(#,##0.00\);_([$$-409]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left" vertical="top" textRotation="0" wrapText="0" indent="0" justifyLastLine="0" shrinkToFit="0" readingOrder="0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 Revenue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'Revenue Chart'!$B$1</c:f>
              <c:strCache>
                <c:ptCount val="1"/>
                <c:pt idx="0">
                  <c:v> Total</c:v>
                </c:pt>
              </c:strCache>
            </c:strRef>
          </c:tx>
          <c:invertIfNegative val="0"/>
          <c:cat>
            <c:strRef>
              <c:f>'Revenue Chart'!$A$2:$A$11</c:f>
              <c:strCache>
                <c:ptCount val="10"/>
                <c:pt idx="0">
                  <c:v>Blueprints</c:v>
                </c:pt>
                <c:pt idx="1">
                  <c:v>Drones</c:v>
                </c:pt>
                <c:pt idx="2">
                  <c:v>Drone Kits</c:v>
                </c:pt>
                <c:pt idx="3">
                  <c:v>eBooks</c:v>
                </c:pt>
                <c:pt idx="4">
                  <c:v>Hardware</c:v>
                </c:pt>
                <c:pt idx="5">
                  <c:v>Robots</c:v>
                </c:pt>
                <c:pt idx="6">
                  <c:v>Robot kits</c:v>
                </c:pt>
                <c:pt idx="7">
                  <c:v>Smart home</c:v>
                </c:pt>
                <c:pt idx="8">
                  <c:v>Software</c:v>
                </c:pt>
                <c:pt idx="9">
                  <c:v>Training Videos</c:v>
                </c:pt>
              </c:strCache>
            </c:strRef>
          </c:cat>
          <c:val>
            <c:numRef>
              <c:f>'Revenue Chart'!$B$2:$B$11</c:f>
              <c:numCache>
                <c:formatCode>_([$$-409]* #,##0.00_);_([$$-409]* \(#,##0.00\);_([$$-409]* "-"??_);_(@_)</c:formatCode>
                <c:ptCount val="10"/>
                <c:pt idx="0">
                  <c:v>2841171.17</c:v>
                </c:pt>
                <c:pt idx="1">
                  <c:v>8923356</c:v>
                </c:pt>
                <c:pt idx="2">
                  <c:v>5735648.7999999998</c:v>
                </c:pt>
                <c:pt idx="3">
                  <c:v>6151402.4900000002</c:v>
                </c:pt>
                <c:pt idx="4">
                  <c:v>20869054.530000001</c:v>
                </c:pt>
                <c:pt idx="5">
                  <c:v>9074381</c:v>
                </c:pt>
                <c:pt idx="6">
                  <c:v>9810531</c:v>
                </c:pt>
                <c:pt idx="7">
                  <c:v>17299982.93</c:v>
                </c:pt>
                <c:pt idx="8">
                  <c:v>34115014</c:v>
                </c:pt>
                <c:pt idx="9">
                  <c:v>6438388.3099999996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0B-EC49-8A85-B2BCCBD3D0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80771208"/>
        <c:axId val="-2096679240"/>
      </c:barChart>
      <c:catAx>
        <c:axId val="208077120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-2096679240"/>
        <c:crosses val="autoZero"/>
        <c:auto val="1"/>
        <c:lblAlgn val="ctr"/>
        <c:lblOffset val="100"/>
        <c:noMultiLvlLbl val="0"/>
      </c:catAx>
      <c:valAx>
        <c:axId val="-2096679240"/>
        <c:scaling>
          <c:orientation val="minMax"/>
        </c:scaling>
        <c:delete val="0"/>
        <c:axPos val="l"/>
        <c:majorGridlines/>
        <c:numFmt formatCode="_([$$-409]* #,##0.00_);_([$$-409]* \(#,##0.00\);_([$$-409]* &quot;-&quot;??_);_(@_)" sourceLinked="1"/>
        <c:majorTickMark val="out"/>
        <c:minorTickMark val="none"/>
        <c:tickLblPos val="nextTo"/>
        <c:crossAx val="2080771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1" l="0.75" r="0.75" t="1" header="0.5" footer="0.5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'Inventory Chart'!$B$1</c:f>
              <c:strCache>
                <c:ptCount val="1"/>
                <c:pt idx="0">
                  <c:v> Total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tint val="100000"/>
                    <a:shade val="100000"/>
                    <a:satMod val="130000"/>
                  </a:schemeClr>
                </a:gs>
                <a:gs pos="100000">
                  <a:schemeClr val="accent6">
                    <a:tint val="50000"/>
                    <a:shade val="100000"/>
                    <a:satMod val="350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strRef>
              <c:f>'Inventory Chart'!$A$2:$A$9</c:f>
              <c:strCache>
                <c:ptCount val="8"/>
                <c:pt idx="0">
                  <c:v>Blueprints</c:v>
                </c:pt>
                <c:pt idx="1">
                  <c:v>Drones</c:v>
                </c:pt>
                <c:pt idx="2">
                  <c:v>Drone Kits</c:v>
                </c:pt>
                <c:pt idx="3">
                  <c:v>eBooks</c:v>
                </c:pt>
                <c:pt idx="4">
                  <c:v>Hardware</c:v>
                </c:pt>
                <c:pt idx="5">
                  <c:v>Robots</c:v>
                </c:pt>
                <c:pt idx="6">
                  <c:v>Robot kits</c:v>
                </c:pt>
                <c:pt idx="7">
                  <c:v>Smart home</c:v>
                </c:pt>
              </c:strCache>
            </c:strRef>
          </c:cat>
          <c:val>
            <c:numRef>
              <c:f>'Inventory Chart'!$B$2:$B$9</c:f>
              <c:numCache>
                <c:formatCode>_([$$-409]* #,##0.00_);_([$$-409]* \(#,##0.00\);_([$$-409]* "-"??_);_(@_)</c:formatCode>
                <c:ptCount val="8"/>
                <c:pt idx="0">
                  <c:v>22541.53</c:v>
                </c:pt>
                <c:pt idx="1">
                  <c:v>230683.94</c:v>
                </c:pt>
                <c:pt idx="2">
                  <c:v>81061.320000000007</c:v>
                </c:pt>
                <c:pt idx="3">
                  <c:v>44795.519999999997</c:v>
                </c:pt>
                <c:pt idx="4">
                  <c:v>115358.71</c:v>
                </c:pt>
                <c:pt idx="5">
                  <c:v>481361.96</c:v>
                </c:pt>
                <c:pt idx="6">
                  <c:v>127714.24000000001</c:v>
                </c:pt>
                <c:pt idx="7">
                  <c:v>84175.98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C8-D143-B0ED-3559B0F980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80771208"/>
        <c:axId val="-2096679240"/>
      </c:barChart>
      <c:catAx>
        <c:axId val="208077120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2096679240"/>
        <c:crosses val="autoZero"/>
        <c:auto val="1"/>
        <c:lblAlgn val="ctr"/>
        <c:lblOffset val="100"/>
        <c:noMultiLvlLbl val="0"/>
      </c:catAx>
      <c:valAx>
        <c:axId val="-2096679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[$$-409]* #,##0.00_);_([$$-409]* \(#,##0.00\);_([$$-409]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0771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1" l="0.75" r="0.75" t="1" header="0.5" footer="0.5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495300</xdr:colOff>
      <xdr:row>3</xdr:row>
      <xdr:rowOff>101600</xdr:rowOff>
    </xdr:from>
    <xdr:to>
      <xdr:col>15</xdr:col>
      <xdr:colOff>101600</xdr:colOff>
      <xdr:row>38</xdr:row>
      <xdr:rowOff>177800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495300</xdr:colOff>
      <xdr:row>3</xdr:row>
      <xdr:rowOff>101600</xdr:rowOff>
    </xdr:from>
    <xdr:to>
      <xdr:col>15</xdr:col>
      <xdr:colOff>101600</xdr:colOff>
      <xdr:row>38</xdr:row>
      <xdr:rowOff>177800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3B1FFA-C851-514F-B44C-8FEAF44364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F7E2428-54A4-654F-9113-88A2DBBB2E00}" name="Table1" displayName="Table1" ref="A1:G101" totalsRowShown="0" headerRowDxfId="15" dataDxfId="14">
  <autoFilter ref="A1:G101" xr:uid="{B03A639D-3ACE-794E-95EF-043B7372516A}"/>
  <sortState xmlns:xlrd2="http://schemas.microsoft.com/office/spreadsheetml/2017/richdata2" ref="A2:G71">
    <sortCondition ref="B1:B71"/>
  </sortState>
  <tableColumns count="7">
    <tableColumn id="2" xr3:uid="{EFF997B6-57B1-5641-A517-D5705F80E6C9}" name="ProdCategory" dataDxfId="13"/>
    <tableColumn id="1" xr3:uid="{191929FC-22A3-BC4E-B0C2-291DA011B848}" name="ProdNumber" dataDxfId="12"/>
    <tableColumn id="3" xr3:uid="{C1519AC6-5E67-824C-84EB-B9795C3164F1}" name="ProdName" dataDxfId="11"/>
    <tableColumn id="4" xr3:uid="{B59D9FE8-B70A-4441-A2C3-7B1AA85C361D}" name="Price" dataDxfId="10"/>
    <tableColumn id="5" xr3:uid="{A0DB2E43-EBF1-3C4D-B239-142134DC07F5}" name="In Stock" dataDxfId="9"/>
    <tableColumn id="6" xr3:uid="{6F09A1BE-CAAD-EB46-B721-ECD3BEDF45CF}" name="Sold" dataDxfId="8"/>
    <tableColumn id="7" xr3:uid="{A978B8CD-F194-4847-88B8-53A63194C9DE}" name="Revenue" dataDxfId="7">
      <calculatedColumnFormula>D2*F2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B0930B9-5E37-1944-A25B-3949FB9FBB77}" name="Table2" displayName="Table2" ref="A1:G101" totalsRowShown="0">
  <autoFilter ref="A1:G101" xr:uid="{D3273D3B-010B-9E4B-A4D7-D616B9D9B8AB}"/>
  <sortState xmlns:xlrd2="http://schemas.microsoft.com/office/spreadsheetml/2017/richdata2" ref="A2:G101">
    <sortCondition ref="C1:C101"/>
  </sortState>
  <tableColumns count="7">
    <tableColumn id="1" xr3:uid="{20B0E1CF-70FF-1749-8058-52ED35150BC4}" name="ProdCategory" dataDxfId="6"/>
    <tableColumn id="7" xr3:uid="{FC3E7475-BE8F-8141-8B76-B514027CE1CB}" name="ProdNumber" dataDxfId="5"/>
    <tableColumn id="2" xr3:uid="{F39CF7F7-B1F5-F54F-862E-D49A4EABBAD3}" name="ProdName" dataDxfId="4"/>
    <tableColumn id="3" xr3:uid="{0138AF27-C46A-CC49-8CED-AA4D25EC6F3F}" name="Retail Price" dataDxfId="3"/>
    <tableColumn id="4" xr3:uid="{024C2CFB-C558-3943-8C67-62168DCA9C32}" name="Cost" dataDxfId="2"/>
    <tableColumn id="5" xr3:uid="{EF40E745-ED58-F246-8431-D4C9800C6B04}" name="In Stock" dataDxfId="1"/>
    <tableColumn id="6" xr3:uid="{1F5BC1EB-7138-3A4C-822A-C2359ABAAA6C}" name="Inventory on Hand" dataDxfId="0">
      <calculatedColumnFormula>E2*F2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 tint="0.59999389629810485"/>
  </sheetPr>
  <dimension ref="A1:G101"/>
  <sheetViews>
    <sheetView topLeftCell="A58" zoomScale="96" workbookViewId="0">
      <selection activeCell="E72" sqref="E72:E101"/>
    </sheetView>
  </sheetViews>
  <sheetFormatPr baseColWidth="10" defaultRowHeight="16" x14ac:dyDescent="0.2"/>
  <cols>
    <col min="1" max="1" width="21.6640625" style="2" customWidth="1"/>
    <col min="2" max="2" width="18.33203125" style="2" customWidth="1"/>
    <col min="3" max="3" width="53" style="2" customWidth="1"/>
    <col min="4" max="4" width="11" style="3" bestFit="1" customWidth="1"/>
    <col min="5" max="6" width="11" style="2" bestFit="1" customWidth="1"/>
    <col min="7" max="7" width="17" style="3" customWidth="1"/>
    <col min="8" max="16384" width="10.83203125" style="2"/>
  </cols>
  <sheetData>
    <row r="1" spans="1:7" s="5" customFormat="1" x14ac:dyDescent="0.2">
      <c r="A1" s="5" t="s">
        <v>88</v>
      </c>
      <c r="B1" s="5" t="s">
        <v>89</v>
      </c>
      <c r="C1" s="5" t="s">
        <v>90</v>
      </c>
      <c r="D1" s="6" t="s">
        <v>1</v>
      </c>
      <c r="E1" s="5" t="s">
        <v>2</v>
      </c>
      <c r="F1" s="5" t="s">
        <v>3</v>
      </c>
      <c r="G1" s="6" t="s">
        <v>4</v>
      </c>
    </row>
    <row r="2" spans="1:7" x14ac:dyDescent="0.2">
      <c r="A2" s="2" t="s">
        <v>9</v>
      </c>
      <c r="B2" s="2" t="s">
        <v>91</v>
      </c>
      <c r="C2" s="7" t="s">
        <v>22</v>
      </c>
      <c r="D2" s="3">
        <v>9.99</v>
      </c>
      <c r="E2" s="2">
        <v>243</v>
      </c>
      <c r="F2" s="2">
        <v>1720</v>
      </c>
      <c r="G2" s="3">
        <f>D2*F2</f>
        <v>17182.8</v>
      </c>
    </row>
    <row r="3" spans="1:7" x14ac:dyDescent="0.2">
      <c r="A3" s="2" t="s">
        <v>9</v>
      </c>
      <c r="B3" s="2" t="s">
        <v>92</v>
      </c>
      <c r="C3" s="7" t="s">
        <v>19</v>
      </c>
      <c r="D3" s="3">
        <v>8.99</v>
      </c>
      <c r="E3" s="2">
        <v>351</v>
      </c>
      <c r="F3" s="2">
        <v>71167</v>
      </c>
      <c r="G3" s="3">
        <f>D3*F3</f>
        <v>639791.32999999996</v>
      </c>
    </row>
    <row r="4" spans="1:7" x14ac:dyDescent="0.2">
      <c r="A4" s="2" t="s">
        <v>9</v>
      </c>
      <c r="B4" s="2" t="s">
        <v>93</v>
      </c>
      <c r="C4" s="7" t="s">
        <v>21</v>
      </c>
      <c r="D4" s="3">
        <v>4.99</v>
      </c>
      <c r="E4" s="2">
        <v>2229</v>
      </c>
      <c r="F4" s="2">
        <v>42393</v>
      </c>
      <c r="G4" s="3">
        <f>D4*F4</f>
        <v>211541.07</v>
      </c>
    </row>
    <row r="5" spans="1:7" x14ac:dyDescent="0.2">
      <c r="A5" s="2" t="s">
        <v>9</v>
      </c>
      <c r="B5" s="2" t="s">
        <v>94</v>
      </c>
      <c r="C5" s="2" t="s">
        <v>17</v>
      </c>
      <c r="D5" s="3">
        <v>12</v>
      </c>
      <c r="E5" s="2">
        <v>321</v>
      </c>
      <c r="F5" s="2">
        <v>11174</v>
      </c>
      <c r="G5" s="3">
        <f>D5*F5</f>
        <v>134088</v>
      </c>
    </row>
    <row r="6" spans="1:7" x14ac:dyDescent="0.2">
      <c r="A6" s="2" t="s">
        <v>9</v>
      </c>
      <c r="B6" s="2" t="s">
        <v>95</v>
      </c>
      <c r="C6" s="7" t="s">
        <v>34</v>
      </c>
      <c r="D6" s="3">
        <v>8.99</v>
      </c>
      <c r="E6" s="2">
        <v>334</v>
      </c>
      <c r="F6" s="2">
        <v>12012</v>
      </c>
      <c r="G6" s="3">
        <f>D6*F6</f>
        <v>107987.88</v>
      </c>
    </row>
    <row r="7" spans="1:7" x14ac:dyDescent="0.2">
      <c r="A7" s="2" t="s">
        <v>9</v>
      </c>
      <c r="B7" s="2" t="s">
        <v>96</v>
      </c>
      <c r="C7" s="7" t="s">
        <v>24</v>
      </c>
      <c r="D7" s="3">
        <v>12</v>
      </c>
      <c r="E7" s="2">
        <v>283</v>
      </c>
      <c r="F7" s="2">
        <v>56840</v>
      </c>
      <c r="G7" s="3">
        <f>D7*F7</f>
        <v>682080</v>
      </c>
    </row>
    <row r="8" spans="1:7" x14ac:dyDescent="0.2">
      <c r="A8" s="2" t="s">
        <v>9</v>
      </c>
      <c r="B8" s="2" t="s">
        <v>97</v>
      </c>
      <c r="C8" s="7" t="s">
        <v>20</v>
      </c>
      <c r="D8" s="3">
        <v>7.99</v>
      </c>
      <c r="E8" s="2">
        <v>2276</v>
      </c>
      <c r="F8" s="2">
        <v>18704</v>
      </c>
      <c r="G8" s="3">
        <f>D8*F8</f>
        <v>149444.96</v>
      </c>
    </row>
    <row r="9" spans="1:7" x14ac:dyDescent="0.2">
      <c r="A9" s="2" t="s">
        <v>9</v>
      </c>
      <c r="B9" s="2" t="s">
        <v>98</v>
      </c>
      <c r="C9" s="2" t="s">
        <v>16</v>
      </c>
      <c r="D9" s="3">
        <v>10.99</v>
      </c>
      <c r="E9" s="2">
        <v>53</v>
      </c>
      <c r="F9" s="2">
        <v>9267</v>
      </c>
      <c r="G9" s="3">
        <f>D9*F9</f>
        <v>101844.33</v>
      </c>
    </row>
    <row r="10" spans="1:7" x14ac:dyDescent="0.2">
      <c r="A10" s="2" t="s">
        <v>9</v>
      </c>
      <c r="B10" s="2" t="s">
        <v>99</v>
      </c>
      <c r="C10" s="7" t="s">
        <v>18</v>
      </c>
      <c r="D10" s="3">
        <v>11.99</v>
      </c>
      <c r="E10" s="2">
        <v>1126</v>
      </c>
      <c r="F10" s="2">
        <v>23720</v>
      </c>
      <c r="G10" s="3">
        <f>D10*F10</f>
        <v>284402.8</v>
      </c>
    </row>
    <row r="11" spans="1:7" x14ac:dyDescent="0.2">
      <c r="A11" s="2" t="s">
        <v>9</v>
      </c>
      <c r="B11" s="2" t="s">
        <v>160</v>
      </c>
      <c r="C11" s="7" t="s">
        <v>23</v>
      </c>
      <c r="D11" s="3">
        <v>12</v>
      </c>
      <c r="E11" s="2">
        <v>8</v>
      </c>
      <c r="F11" s="2">
        <v>42734</v>
      </c>
      <c r="G11" s="3">
        <f>D11*F11</f>
        <v>512808</v>
      </c>
    </row>
    <row r="12" spans="1:7" x14ac:dyDescent="0.2">
      <c r="A12" s="2" t="s">
        <v>7</v>
      </c>
      <c r="B12" s="2" t="s">
        <v>100</v>
      </c>
      <c r="C12" s="7" t="s">
        <v>59</v>
      </c>
      <c r="D12" s="3">
        <v>54</v>
      </c>
      <c r="E12" s="2">
        <v>281</v>
      </c>
      <c r="F12" s="2">
        <v>12346</v>
      </c>
      <c r="G12" s="3">
        <f>D12*F12</f>
        <v>666684</v>
      </c>
    </row>
    <row r="13" spans="1:7" x14ac:dyDescent="0.2">
      <c r="A13" s="2" t="s">
        <v>7</v>
      </c>
      <c r="B13" s="2" t="s">
        <v>101</v>
      </c>
      <c r="C13" s="7" t="s">
        <v>60</v>
      </c>
      <c r="D13" s="3">
        <v>58.95</v>
      </c>
      <c r="E13" s="2">
        <v>438</v>
      </c>
      <c r="F13" s="2">
        <v>1209</v>
      </c>
      <c r="G13" s="3">
        <f>D13*F13</f>
        <v>71270.55</v>
      </c>
    </row>
    <row r="14" spans="1:7" x14ac:dyDescent="0.2">
      <c r="A14" s="2" t="s">
        <v>7</v>
      </c>
      <c r="B14" s="2" t="s">
        <v>102</v>
      </c>
      <c r="C14" s="7" t="s">
        <v>61</v>
      </c>
      <c r="D14" s="3">
        <v>69</v>
      </c>
      <c r="E14" s="2">
        <v>189</v>
      </c>
      <c r="F14" s="2">
        <v>4768</v>
      </c>
      <c r="G14" s="3">
        <f>D14*F14</f>
        <v>328992</v>
      </c>
    </row>
    <row r="15" spans="1:7" x14ac:dyDescent="0.2">
      <c r="A15" s="2" t="s">
        <v>7</v>
      </c>
      <c r="B15" s="2" t="s">
        <v>103</v>
      </c>
      <c r="C15" s="7" t="s">
        <v>62</v>
      </c>
      <c r="D15" s="3">
        <v>89</v>
      </c>
      <c r="E15" s="2">
        <v>127</v>
      </c>
      <c r="F15" s="2">
        <v>18330</v>
      </c>
      <c r="G15" s="3">
        <f>D15*F15</f>
        <v>1631370</v>
      </c>
    </row>
    <row r="16" spans="1:7" x14ac:dyDescent="0.2">
      <c r="A16" s="2" t="s">
        <v>7</v>
      </c>
      <c r="B16" s="2" t="s">
        <v>104</v>
      </c>
      <c r="C16" s="7" t="s">
        <v>63</v>
      </c>
      <c r="D16" s="3">
        <v>89.95</v>
      </c>
      <c r="E16" s="2">
        <v>334</v>
      </c>
      <c r="F16" s="2">
        <v>12045</v>
      </c>
      <c r="G16" s="3">
        <f>D16*F16</f>
        <v>1083447.75</v>
      </c>
    </row>
    <row r="17" spans="1:7" x14ac:dyDescent="0.2">
      <c r="A17" s="2" t="s">
        <v>7</v>
      </c>
      <c r="B17" s="2" t="s">
        <v>105</v>
      </c>
      <c r="C17" s="7" t="s">
        <v>64</v>
      </c>
      <c r="D17" s="3">
        <v>119</v>
      </c>
      <c r="E17" s="2">
        <v>17</v>
      </c>
      <c r="F17" s="2">
        <v>2456</v>
      </c>
      <c r="G17" s="3">
        <f>D17*F17</f>
        <v>292264</v>
      </c>
    </row>
    <row r="18" spans="1:7" x14ac:dyDescent="0.2">
      <c r="A18" s="2" t="s">
        <v>7</v>
      </c>
      <c r="B18" s="2" t="s">
        <v>106</v>
      </c>
      <c r="C18" s="7" t="s">
        <v>65</v>
      </c>
      <c r="D18" s="3">
        <v>129.94999999999999</v>
      </c>
      <c r="E18" s="2">
        <v>123</v>
      </c>
      <c r="F18" s="2">
        <v>1870</v>
      </c>
      <c r="G18" s="3">
        <f>D18*F18</f>
        <v>243006.49999999997</v>
      </c>
    </row>
    <row r="19" spans="1:7" x14ac:dyDescent="0.2">
      <c r="A19" s="2" t="s">
        <v>7</v>
      </c>
      <c r="B19" s="2" t="s">
        <v>107</v>
      </c>
      <c r="C19" s="7" t="s">
        <v>66</v>
      </c>
      <c r="D19" s="3">
        <v>167</v>
      </c>
      <c r="E19" s="2">
        <v>160</v>
      </c>
      <c r="F19" s="2">
        <v>4248</v>
      </c>
      <c r="G19" s="3">
        <f>D19*F19</f>
        <v>709416</v>
      </c>
    </row>
    <row r="20" spans="1:7" x14ac:dyDescent="0.2">
      <c r="A20" s="2" t="s">
        <v>7</v>
      </c>
      <c r="B20" s="2" t="s">
        <v>108</v>
      </c>
      <c r="C20" s="7" t="s">
        <v>67</v>
      </c>
      <c r="D20" s="3">
        <v>179</v>
      </c>
      <c r="E20" s="2">
        <v>409</v>
      </c>
      <c r="F20" s="2">
        <v>3962</v>
      </c>
      <c r="G20" s="3">
        <f>D20*F20</f>
        <v>709198</v>
      </c>
    </row>
    <row r="21" spans="1:7" x14ac:dyDescent="0.2">
      <c r="A21" s="2" t="s">
        <v>8</v>
      </c>
      <c r="B21" s="2" t="s">
        <v>109</v>
      </c>
      <c r="C21" s="7" t="s">
        <v>75</v>
      </c>
      <c r="D21" s="3">
        <v>399</v>
      </c>
      <c r="E21" s="2">
        <v>309</v>
      </c>
      <c r="F21" s="2">
        <v>1712</v>
      </c>
      <c r="G21" s="3">
        <f>D21*F21</f>
        <v>683088</v>
      </c>
    </row>
    <row r="22" spans="1:7" x14ac:dyDescent="0.2">
      <c r="A22" s="2" t="s">
        <v>8</v>
      </c>
      <c r="B22" s="2" t="s">
        <v>110</v>
      </c>
      <c r="C22" s="7" t="s">
        <v>44</v>
      </c>
      <c r="D22" s="3">
        <v>395</v>
      </c>
      <c r="E22" s="2">
        <v>159</v>
      </c>
      <c r="F22" s="2">
        <v>1464</v>
      </c>
      <c r="G22" s="3">
        <f>D22*F22</f>
        <v>578280</v>
      </c>
    </row>
    <row r="23" spans="1:7" x14ac:dyDescent="0.2">
      <c r="A23" s="2" t="s">
        <v>8</v>
      </c>
      <c r="B23" s="2" t="s">
        <v>111</v>
      </c>
      <c r="C23" s="7" t="s">
        <v>76</v>
      </c>
      <c r="D23" s="3">
        <v>450</v>
      </c>
      <c r="E23" s="2">
        <v>232</v>
      </c>
      <c r="F23" s="2">
        <v>4912</v>
      </c>
      <c r="G23" s="3">
        <f>D23*F23</f>
        <v>2210400</v>
      </c>
    </row>
    <row r="24" spans="1:7" x14ac:dyDescent="0.2">
      <c r="A24" s="2" t="s">
        <v>8</v>
      </c>
      <c r="B24" s="2" t="s">
        <v>112</v>
      </c>
      <c r="C24" s="7" t="s">
        <v>74</v>
      </c>
      <c r="D24" s="3">
        <v>250</v>
      </c>
      <c r="E24" s="2">
        <v>302</v>
      </c>
      <c r="F24" s="2">
        <v>9210</v>
      </c>
      <c r="G24" s="3">
        <f>D24*F24</f>
        <v>2302500</v>
      </c>
    </row>
    <row r="25" spans="1:7" x14ac:dyDescent="0.2">
      <c r="A25" s="2" t="s">
        <v>8</v>
      </c>
      <c r="B25" s="2" t="s">
        <v>113</v>
      </c>
      <c r="C25" s="7" t="s">
        <v>77</v>
      </c>
      <c r="D25" s="3">
        <v>455</v>
      </c>
      <c r="E25" s="2">
        <v>340</v>
      </c>
      <c r="F25" s="2">
        <v>1310</v>
      </c>
      <c r="G25" s="3">
        <f>D25*F25</f>
        <v>596050</v>
      </c>
    </row>
    <row r="26" spans="1:7" x14ac:dyDescent="0.2">
      <c r="A26" s="2" t="s">
        <v>8</v>
      </c>
      <c r="B26" s="2" t="s">
        <v>114</v>
      </c>
      <c r="C26" s="7" t="s">
        <v>43</v>
      </c>
      <c r="D26" s="3">
        <v>250</v>
      </c>
      <c r="E26" s="2">
        <v>80</v>
      </c>
      <c r="F26" s="2">
        <v>6296</v>
      </c>
      <c r="G26" s="3">
        <f>D26*F26</f>
        <v>1574000</v>
      </c>
    </row>
    <row r="27" spans="1:7" x14ac:dyDescent="0.2">
      <c r="A27" s="2" t="s">
        <v>8</v>
      </c>
      <c r="B27" s="2" t="s">
        <v>115</v>
      </c>
      <c r="C27" s="7" t="s">
        <v>48</v>
      </c>
      <c r="D27" s="3">
        <v>499</v>
      </c>
      <c r="E27" s="2">
        <v>133</v>
      </c>
      <c r="F27" s="2">
        <v>1962</v>
      </c>
      <c r="G27" s="3">
        <f>D27*F27</f>
        <v>979038</v>
      </c>
    </row>
    <row r="28" spans="1:7" x14ac:dyDescent="0.2">
      <c r="A28" s="2" t="s">
        <v>13</v>
      </c>
      <c r="B28" s="2" t="s">
        <v>116</v>
      </c>
      <c r="C28" s="7" t="s">
        <v>29</v>
      </c>
      <c r="D28" s="3">
        <v>23.99</v>
      </c>
      <c r="E28" s="2">
        <v>796</v>
      </c>
      <c r="F28" s="2">
        <v>14443</v>
      </c>
      <c r="G28" s="3">
        <f>D28*F28</f>
        <v>346487.56999999995</v>
      </c>
    </row>
    <row r="29" spans="1:7" x14ac:dyDescent="0.2">
      <c r="A29" s="2" t="s">
        <v>13</v>
      </c>
      <c r="B29" s="2" t="s">
        <v>117</v>
      </c>
      <c r="C29" s="7" t="s">
        <v>14</v>
      </c>
      <c r="D29" s="3">
        <v>24.95</v>
      </c>
      <c r="E29" s="2">
        <v>380</v>
      </c>
      <c r="F29" s="2">
        <v>4595</v>
      </c>
      <c r="G29" s="3">
        <f>D29*F29</f>
        <v>114645.25</v>
      </c>
    </row>
    <row r="30" spans="1:7" x14ac:dyDescent="0.2">
      <c r="A30" s="2" t="s">
        <v>13</v>
      </c>
      <c r="B30" s="2" t="s">
        <v>118</v>
      </c>
      <c r="C30" s="2" t="s">
        <v>15</v>
      </c>
      <c r="D30" s="3">
        <v>24.99</v>
      </c>
      <c r="E30" s="2">
        <v>173</v>
      </c>
      <c r="F30" s="2">
        <v>22436</v>
      </c>
      <c r="G30" s="3">
        <f>D30*F30</f>
        <v>560675.64</v>
      </c>
    </row>
    <row r="31" spans="1:7" x14ac:dyDescent="0.2">
      <c r="A31" s="2" t="s">
        <v>13</v>
      </c>
      <c r="B31" s="2" t="s">
        <v>119</v>
      </c>
      <c r="C31" s="7" t="s">
        <v>33</v>
      </c>
      <c r="D31" s="3">
        <v>12.99</v>
      </c>
      <c r="E31" s="2">
        <v>312</v>
      </c>
      <c r="F31" s="2">
        <v>13216</v>
      </c>
      <c r="G31" s="3">
        <f>D31*F31</f>
        <v>171675.84</v>
      </c>
    </row>
    <row r="32" spans="1:7" x14ac:dyDescent="0.2">
      <c r="A32" s="2" t="s">
        <v>13</v>
      </c>
      <c r="B32" s="2" t="s">
        <v>120</v>
      </c>
      <c r="C32" s="7" t="s">
        <v>41</v>
      </c>
      <c r="D32" s="3">
        <v>14.99</v>
      </c>
      <c r="E32" s="2">
        <v>429</v>
      </c>
      <c r="F32" s="2">
        <v>12899</v>
      </c>
      <c r="G32" s="3">
        <f>D32*F32</f>
        <v>193356.01</v>
      </c>
    </row>
    <row r="33" spans="1:7" x14ac:dyDescent="0.2">
      <c r="A33" s="2" t="s">
        <v>13</v>
      </c>
      <c r="B33" s="2" t="s">
        <v>121</v>
      </c>
      <c r="C33" s="7" t="s">
        <v>31</v>
      </c>
      <c r="D33" s="3">
        <v>16.989999999999998</v>
      </c>
      <c r="E33" s="2">
        <v>428</v>
      </c>
      <c r="F33" s="2">
        <v>32397</v>
      </c>
      <c r="G33" s="3">
        <f>D33*F33</f>
        <v>550425.02999999991</v>
      </c>
    </row>
    <row r="34" spans="1:7" x14ac:dyDescent="0.2">
      <c r="A34" s="2" t="s">
        <v>13</v>
      </c>
      <c r="B34" s="2" t="s">
        <v>122</v>
      </c>
      <c r="C34" s="7" t="s">
        <v>25</v>
      </c>
      <c r="D34" s="3">
        <v>13.99</v>
      </c>
      <c r="E34" s="2">
        <v>79</v>
      </c>
      <c r="F34" s="2">
        <v>4810</v>
      </c>
      <c r="G34" s="3">
        <f>D34*F34</f>
        <v>67291.899999999994</v>
      </c>
    </row>
    <row r="35" spans="1:7" x14ac:dyDescent="0.2">
      <c r="A35" s="2" t="s">
        <v>13</v>
      </c>
      <c r="B35" s="2" t="s">
        <v>123</v>
      </c>
      <c r="C35" s="7" t="s">
        <v>35</v>
      </c>
      <c r="D35" s="3">
        <v>15.5</v>
      </c>
      <c r="E35" s="2">
        <v>468</v>
      </c>
      <c r="F35" s="2">
        <v>21243</v>
      </c>
      <c r="G35" s="3">
        <f>D35*F35</f>
        <v>329266.5</v>
      </c>
    </row>
    <row r="36" spans="1:7" x14ac:dyDescent="0.2">
      <c r="A36" s="2" t="s">
        <v>13</v>
      </c>
      <c r="B36" s="2" t="s">
        <v>124</v>
      </c>
      <c r="C36" s="7" t="s">
        <v>38</v>
      </c>
      <c r="D36" s="3">
        <v>19.989999999999998</v>
      </c>
      <c r="E36" s="2">
        <v>405</v>
      </c>
      <c r="F36" s="2">
        <v>40845</v>
      </c>
      <c r="G36" s="3">
        <f>D36*F36</f>
        <v>816491.54999999993</v>
      </c>
    </row>
    <row r="37" spans="1:7" x14ac:dyDescent="0.2">
      <c r="A37" s="2" t="s">
        <v>13</v>
      </c>
      <c r="B37" s="2" t="s">
        <v>125</v>
      </c>
      <c r="C37" s="7" t="s">
        <v>39</v>
      </c>
      <c r="D37" s="3">
        <v>20.95</v>
      </c>
      <c r="E37" s="2">
        <v>6</v>
      </c>
      <c r="F37" s="2">
        <v>36154</v>
      </c>
      <c r="G37" s="3">
        <f>D37*F37</f>
        <v>757426.29999999993</v>
      </c>
    </row>
    <row r="38" spans="1:7" x14ac:dyDescent="0.2">
      <c r="A38" s="2" t="s">
        <v>13</v>
      </c>
      <c r="B38" s="2" t="s">
        <v>126</v>
      </c>
      <c r="C38" s="7" t="s">
        <v>36</v>
      </c>
      <c r="D38" s="3">
        <v>24.95</v>
      </c>
      <c r="E38" s="2">
        <v>220</v>
      </c>
      <c r="F38" s="2">
        <v>3640</v>
      </c>
      <c r="G38" s="3">
        <f>D38*F38</f>
        <v>90818</v>
      </c>
    </row>
    <row r="39" spans="1:7" x14ac:dyDescent="0.2">
      <c r="A39" s="2" t="s">
        <v>13</v>
      </c>
      <c r="B39" s="2" t="s">
        <v>127</v>
      </c>
      <c r="C39" s="7" t="s">
        <v>42</v>
      </c>
      <c r="D39" s="3">
        <v>14.99</v>
      </c>
      <c r="E39" s="2">
        <v>326</v>
      </c>
      <c r="F39" s="2">
        <v>1044</v>
      </c>
      <c r="G39" s="3">
        <f>D39*F39</f>
        <v>15649.56</v>
      </c>
    </row>
    <row r="40" spans="1:7" x14ac:dyDescent="0.2">
      <c r="A40" s="2" t="s">
        <v>13</v>
      </c>
      <c r="B40" s="2" t="s">
        <v>128</v>
      </c>
      <c r="C40" s="7" t="s">
        <v>28</v>
      </c>
      <c r="D40" s="3">
        <v>23.99</v>
      </c>
      <c r="E40" s="2">
        <v>375</v>
      </c>
      <c r="F40" s="2">
        <v>17364</v>
      </c>
      <c r="G40" s="3">
        <f>D40*F40</f>
        <v>416562.36</v>
      </c>
    </row>
    <row r="41" spans="1:7" x14ac:dyDescent="0.2">
      <c r="A41" s="2" t="s">
        <v>13</v>
      </c>
      <c r="B41" s="2" t="s">
        <v>129</v>
      </c>
      <c r="C41" s="7" t="s">
        <v>40</v>
      </c>
      <c r="D41" s="3">
        <v>16.989999999999998</v>
      </c>
      <c r="E41" s="2">
        <v>217</v>
      </c>
      <c r="F41" s="2">
        <v>23056</v>
      </c>
      <c r="G41" s="3">
        <f>D41*F41</f>
        <v>391721.43999999994</v>
      </c>
    </row>
    <row r="42" spans="1:7" x14ac:dyDescent="0.2">
      <c r="A42" s="2" t="s">
        <v>13</v>
      </c>
      <c r="B42" s="2" t="s">
        <v>130</v>
      </c>
      <c r="C42" s="7" t="s">
        <v>30</v>
      </c>
      <c r="D42" s="3">
        <v>19.5</v>
      </c>
      <c r="E42" s="2">
        <v>257</v>
      </c>
      <c r="F42" s="2">
        <v>12487</v>
      </c>
      <c r="G42" s="3">
        <f>D42*F42</f>
        <v>243496.5</v>
      </c>
    </row>
    <row r="43" spans="1:7" x14ac:dyDescent="0.2">
      <c r="A43" s="2" t="s">
        <v>13</v>
      </c>
      <c r="B43" s="2" t="s">
        <v>131</v>
      </c>
      <c r="C43" s="7" t="s">
        <v>37</v>
      </c>
      <c r="D43" s="3">
        <v>14.99</v>
      </c>
      <c r="E43" s="2">
        <v>236</v>
      </c>
      <c r="F43" s="2">
        <v>7271</v>
      </c>
      <c r="G43" s="3">
        <f>D43*F43</f>
        <v>108992.29000000001</v>
      </c>
    </row>
    <row r="44" spans="1:7" x14ac:dyDescent="0.2">
      <c r="A44" s="2" t="s">
        <v>13</v>
      </c>
      <c r="B44" s="2" t="s">
        <v>132</v>
      </c>
      <c r="C44" s="7" t="s">
        <v>32</v>
      </c>
      <c r="D44" s="3">
        <v>16.75</v>
      </c>
      <c r="E44" s="2">
        <v>470</v>
      </c>
      <c r="F44" s="2">
        <v>4863</v>
      </c>
      <c r="G44" s="3">
        <f>D44*F44</f>
        <v>81455.25</v>
      </c>
    </row>
    <row r="45" spans="1:7" x14ac:dyDescent="0.2">
      <c r="A45" s="2" t="s">
        <v>13</v>
      </c>
      <c r="B45" s="2" t="s">
        <v>133</v>
      </c>
      <c r="C45" s="7" t="s">
        <v>26</v>
      </c>
      <c r="D45" s="3">
        <v>17.5</v>
      </c>
      <c r="E45" s="2">
        <v>462</v>
      </c>
      <c r="F45" s="2">
        <v>26923</v>
      </c>
      <c r="G45" s="3">
        <f>D45*F45</f>
        <v>471152.5</v>
      </c>
    </row>
    <row r="46" spans="1:7" x14ac:dyDescent="0.2">
      <c r="A46" s="2" t="s">
        <v>13</v>
      </c>
      <c r="B46" s="2" t="s">
        <v>134</v>
      </c>
      <c r="C46" s="7" t="s">
        <v>27</v>
      </c>
      <c r="D46" s="3">
        <v>19.5</v>
      </c>
      <c r="E46" s="2">
        <v>158</v>
      </c>
      <c r="F46" s="2">
        <v>21734</v>
      </c>
      <c r="G46" s="3">
        <f>D46*F46</f>
        <v>423813</v>
      </c>
    </row>
    <row r="47" spans="1:7" x14ac:dyDescent="0.2">
      <c r="A47" s="2" t="s">
        <v>11</v>
      </c>
      <c r="B47" s="2" t="s">
        <v>135</v>
      </c>
      <c r="C47" s="7" t="s">
        <v>68</v>
      </c>
      <c r="D47" s="3">
        <v>189</v>
      </c>
      <c r="E47" s="2">
        <v>493</v>
      </c>
      <c r="F47" s="2">
        <v>4363</v>
      </c>
      <c r="G47" s="3">
        <f>D47*F47</f>
        <v>824607</v>
      </c>
    </row>
    <row r="48" spans="1:7" x14ac:dyDescent="0.2">
      <c r="A48" s="2" t="s">
        <v>11</v>
      </c>
      <c r="B48" s="2" t="s">
        <v>136</v>
      </c>
      <c r="C48" s="7" t="s">
        <v>69</v>
      </c>
      <c r="D48" s="3">
        <v>189</v>
      </c>
      <c r="E48" s="2">
        <v>275</v>
      </c>
      <c r="F48" s="2">
        <v>6164</v>
      </c>
      <c r="G48" s="3">
        <f>D48*F48</f>
        <v>1164996</v>
      </c>
    </row>
    <row r="49" spans="1:7" x14ac:dyDescent="0.2">
      <c r="A49" s="2" t="s">
        <v>11</v>
      </c>
      <c r="B49" s="2" t="s">
        <v>137</v>
      </c>
      <c r="C49" s="7" t="s">
        <v>70</v>
      </c>
      <c r="D49" s="3">
        <v>189</v>
      </c>
      <c r="E49" s="2">
        <v>331</v>
      </c>
      <c r="F49" s="2">
        <v>8378</v>
      </c>
      <c r="G49" s="3">
        <f>D49*F49</f>
        <v>1583442</v>
      </c>
    </row>
    <row r="50" spans="1:7" x14ac:dyDescent="0.2">
      <c r="A50" s="2" t="s">
        <v>11</v>
      </c>
      <c r="B50" s="2" t="s">
        <v>138</v>
      </c>
      <c r="C50" s="7" t="s">
        <v>71</v>
      </c>
      <c r="D50" s="3">
        <v>214</v>
      </c>
      <c r="E50" s="2">
        <v>203</v>
      </c>
      <c r="F50" s="2">
        <v>1289</v>
      </c>
      <c r="G50" s="3">
        <f>D50*F50</f>
        <v>275846</v>
      </c>
    </row>
    <row r="51" spans="1:7" x14ac:dyDescent="0.2">
      <c r="A51" s="2" t="s">
        <v>11</v>
      </c>
      <c r="B51" s="2" t="s">
        <v>139</v>
      </c>
      <c r="C51" s="7" t="s">
        <v>72</v>
      </c>
      <c r="D51" s="3">
        <v>225</v>
      </c>
      <c r="E51" s="2">
        <v>126</v>
      </c>
      <c r="F51" s="2">
        <v>6404</v>
      </c>
      <c r="G51" s="3">
        <f>D51*F51</f>
        <v>1440900</v>
      </c>
    </row>
    <row r="52" spans="1:7" x14ac:dyDescent="0.2">
      <c r="A52" s="2" t="s">
        <v>11</v>
      </c>
      <c r="B52" s="2" t="s">
        <v>140</v>
      </c>
      <c r="C52" s="7" t="s">
        <v>73</v>
      </c>
      <c r="D52" s="3">
        <v>245</v>
      </c>
      <c r="E52" s="2">
        <v>231</v>
      </c>
      <c r="F52" s="2">
        <v>18452</v>
      </c>
      <c r="G52" s="3">
        <f>D52*F52</f>
        <v>4520740</v>
      </c>
    </row>
    <row r="53" spans="1:7" x14ac:dyDescent="0.2">
      <c r="A53" s="2" t="s">
        <v>10</v>
      </c>
      <c r="B53" s="2" t="s">
        <v>141</v>
      </c>
      <c r="C53" s="7" t="s">
        <v>84</v>
      </c>
      <c r="D53" s="3">
        <v>899</v>
      </c>
      <c r="E53" s="2">
        <v>291</v>
      </c>
      <c r="F53" s="2">
        <v>1310</v>
      </c>
      <c r="G53" s="3">
        <f>D53*F53</f>
        <v>1177690</v>
      </c>
    </row>
    <row r="54" spans="1:7" x14ac:dyDescent="0.2">
      <c r="A54" s="2" t="s">
        <v>10</v>
      </c>
      <c r="B54" s="2" t="s">
        <v>142</v>
      </c>
      <c r="C54" s="7" t="s">
        <v>79</v>
      </c>
      <c r="D54" s="3">
        <v>549</v>
      </c>
      <c r="E54" s="2">
        <v>296</v>
      </c>
      <c r="F54" s="2">
        <v>1319</v>
      </c>
      <c r="G54" s="3">
        <f>D54*F54</f>
        <v>724131</v>
      </c>
    </row>
    <row r="55" spans="1:7" x14ac:dyDescent="0.2">
      <c r="A55" s="2" t="s">
        <v>10</v>
      </c>
      <c r="B55" s="2" t="s">
        <v>143</v>
      </c>
      <c r="C55" s="7" t="s">
        <v>82</v>
      </c>
      <c r="D55" s="3">
        <v>699</v>
      </c>
      <c r="E55" s="2">
        <v>182</v>
      </c>
      <c r="F55" s="2">
        <v>3398</v>
      </c>
      <c r="G55" s="3">
        <f>D55*F55</f>
        <v>2375202</v>
      </c>
    </row>
    <row r="56" spans="1:7" x14ac:dyDescent="0.2">
      <c r="A56" s="2" t="s">
        <v>10</v>
      </c>
      <c r="B56" s="2" t="s">
        <v>144</v>
      </c>
      <c r="C56" s="7" t="s">
        <v>81</v>
      </c>
      <c r="D56" s="3">
        <v>684</v>
      </c>
      <c r="E56" s="2">
        <v>363</v>
      </c>
      <c r="F56" s="2">
        <v>4143</v>
      </c>
      <c r="G56" s="3">
        <f>D56*F56</f>
        <v>2833812</v>
      </c>
    </row>
    <row r="57" spans="1:7" x14ac:dyDescent="0.2">
      <c r="A57" s="2" t="s">
        <v>10</v>
      </c>
      <c r="B57" s="2" t="s">
        <v>145</v>
      </c>
      <c r="C57" s="7" t="s">
        <v>83</v>
      </c>
      <c r="D57" s="3">
        <v>883</v>
      </c>
      <c r="E57" s="2">
        <v>335</v>
      </c>
      <c r="F57" s="2">
        <v>211</v>
      </c>
      <c r="G57" s="3">
        <f>D57*F57</f>
        <v>186313</v>
      </c>
    </row>
    <row r="58" spans="1:7" x14ac:dyDescent="0.2">
      <c r="A58" s="2" t="s">
        <v>10</v>
      </c>
      <c r="B58" s="2" t="s">
        <v>146</v>
      </c>
      <c r="C58" s="7" t="s">
        <v>80</v>
      </c>
      <c r="D58" s="3">
        <v>599</v>
      </c>
      <c r="E58" s="2">
        <v>286</v>
      </c>
      <c r="F58" s="2">
        <v>2967</v>
      </c>
      <c r="G58" s="3">
        <f>D58*F58</f>
        <v>1777233</v>
      </c>
    </row>
    <row r="59" spans="1:7" x14ac:dyDescent="0.2">
      <c r="A59" s="2" t="s">
        <v>6</v>
      </c>
      <c r="B59" s="2" t="s">
        <v>147</v>
      </c>
      <c r="C59" s="7" t="s">
        <v>49</v>
      </c>
      <c r="D59" s="3">
        <v>36.99</v>
      </c>
      <c r="E59" s="2">
        <v>472</v>
      </c>
      <c r="F59" s="2">
        <v>12720</v>
      </c>
      <c r="G59" s="3">
        <f>D59*F59</f>
        <v>470512.80000000005</v>
      </c>
    </row>
    <row r="60" spans="1:7" x14ac:dyDescent="0.2">
      <c r="A60" s="2" t="s">
        <v>6</v>
      </c>
      <c r="B60" s="2" t="s">
        <v>148</v>
      </c>
      <c r="C60" s="7" t="s">
        <v>55</v>
      </c>
      <c r="D60" s="3">
        <v>49.95</v>
      </c>
      <c r="E60" s="2">
        <v>448</v>
      </c>
      <c r="F60" s="2">
        <v>1979</v>
      </c>
      <c r="G60" s="3">
        <f>D60*F60</f>
        <v>98851.05</v>
      </c>
    </row>
    <row r="61" spans="1:7" x14ac:dyDescent="0.2">
      <c r="A61" s="2" t="s">
        <v>6</v>
      </c>
      <c r="B61" s="2" t="s">
        <v>149</v>
      </c>
      <c r="C61" s="7" t="s">
        <v>46</v>
      </c>
      <c r="D61" s="3">
        <v>29.99</v>
      </c>
      <c r="E61" s="2">
        <v>436</v>
      </c>
      <c r="F61" s="2">
        <v>23256</v>
      </c>
      <c r="G61" s="3">
        <f>D61*F61</f>
        <v>697447.44</v>
      </c>
    </row>
    <row r="62" spans="1:7" x14ac:dyDescent="0.2">
      <c r="A62" s="2" t="s">
        <v>6</v>
      </c>
      <c r="B62" s="2" t="s">
        <v>150</v>
      </c>
      <c r="C62" s="7" t="s">
        <v>50</v>
      </c>
      <c r="D62" s="3">
        <v>37.99</v>
      </c>
      <c r="E62" s="2">
        <v>75</v>
      </c>
      <c r="F62" s="2">
        <v>22358</v>
      </c>
      <c r="G62" s="3">
        <f>D62*F62</f>
        <v>849380.42</v>
      </c>
    </row>
    <row r="63" spans="1:7" x14ac:dyDescent="0.2">
      <c r="A63" s="2" t="s">
        <v>6</v>
      </c>
      <c r="B63" s="2" t="s">
        <v>151</v>
      </c>
      <c r="C63" s="7" t="s">
        <v>57</v>
      </c>
      <c r="D63" s="3">
        <v>49</v>
      </c>
      <c r="E63" s="2">
        <v>252</v>
      </c>
      <c r="F63" s="2">
        <v>4249</v>
      </c>
      <c r="G63" s="3">
        <f>D63*F63</f>
        <v>208201</v>
      </c>
    </row>
    <row r="64" spans="1:7" x14ac:dyDescent="0.2">
      <c r="A64" s="2" t="s">
        <v>6</v>
      </c>
      <c r="B64" s="2" t="s">
        <v>152</v>
      </c>
      <c r="C64" s="7" t="s">
        <v>51</v>
      </c>
      <c r="D64" s="3">
        <v>49</v>
      </c>
      <c r="E64" s="2">
        <v>374</v>
      </c>
      <c r="F64" s="2">
        <v>9334</v>
      </c>
      <c r="G64" s="3">
        <f>D64*F64</f>
        <v>457366</v>
      </c>
    </row>
    <row r="65" spans="1:7" x14ac:dyDescent="0.2">
      <c r="A65" s="2" t="s">
        <v>6</v>
      </c>
      <c r="B65" s="2" t="s">
        <v>153</v>
      </c>
      <c r="C65" s="7" t="s">
        <v>47</v>
      </c>
      <c r="D65" s="3">
        <v>32.950000000000003</v>
      </c>
      <c r="E65" s="2">
        <v>376</v>
      </c>
      <c r="F65" s="2">
        <v>12122</v>
      </c>
      <c r="G65" s="3">
        <f>D65*F65</f>
        <v>399419.9</v>
      </c>
    </row>
    <row r="66" spans="1:7" x14ac:dyDescent="0.2">
      <c r="A66" s="2" t="s">
        <v>6</v>
      </c>
      <c r="B66" s="2" t="s">
        <v>154</v>
      </c>
      <c r="C66" s="7" t="s">
        <v>52</v>
      </c>
      <c r="D66" s="3">
        <v>34.99</v>
      </c>
      <c r="E66" s="2">
        <v>901</v>
      </c>
      <c r="F66" s="2">
        <v>23037</v>
      </c>
      <c r="G66" s="3">
        <f>D66*F66</f>
        <v>806064.63</v>
      </c>
    </row>
    <row r="67" spans="1:7" x14ac:dyDescent="0.2">
      <c r="A67" s="2" t="s">
        <v>6</v>
      </c>
      <c r="B67" s="2" t="s">
        <v>155</v>
      </c>
      <c r="C67" s="7" t="s">
        <v>53</v>
      </c>
      <c r="D67" s="3">
        <v>42.99</v>
      </c>
      <c r="E67" s="2">
        <v>202</v>
      </c>
      <c r="F67" s="2">
        <v>19432</v>
      </c>
      <c r="G67" s="3">
        <f>D67*F67</f>
        <v>835381.68</v>
      </c>
    </row>
    <row r="68" spans="1:7" x14ac:dyDescent="0.2">
      <c r="A68" s="2" t="s">
        <v>6</v>
      </c>
      <c r="B68" s="2" t="s">
        <v>156</v>
      </c>
      <c r="C68" s="7" t="s">
        <v>54</v>
      </c>
      <c r="D68" s="3">
        <v>44.95</v>
      </c>
      <c r="E68" s="2">
        <v>190</v>
      </c>
      <c r="F68" s="2">
        <v>4397</v>
      </c>
      <c r="G68" s="3">
        <f>D68*F68</f>
        <v>197645.15000000002</v>
      </c>
    </row>
    <row r="69" spans="1:7" x14ac:dyDescent="0.2">
      <c r="A69" s="2" t="s">
        <v>6</v>
      </c>
      <c r="B69" s="2" t="s">
        <v>157</v>
      </c>
      <c r="C69" s="7" t="s">
        <v>56</v>
      </c>
      <c r="D69" s="3">
        <v>27.5</v>
      </c>
      <c r="E69" s="2">
        <v>338</v>
      </c>
      <c r="F69" s="2">
        <v>28069</v>
      </c>
      <c r="G69" s="3">
        <f>D69*F69</f>
        <v>771897.5</v>
      </c>
    </row>
    <row r="70" spans="1:7" x14ac:dyDescent="0.2">
      <c r="A70" s="2" t="s">
        <v>6</v>
      </c>
      <c r="B70" s="2" t="s">
        <v>158</v>
      </c>
      <c r="C70" s="7" t="s">
        <v>58</v>
      </c>
      <c r="D70" s="3">
        <v>28.99</v>
      </c>
      <c r="E70" s="2">
        <v>467</v>
      </c>
      <c r="F70" s="2">
        <v>11340</v>
      </c>
      <c r="G70" s="3">
        <f>D70*F70</f>
        <v>328746.59999999998</v>
      </c>
    </row>
    <row r="71" spans="1:7" x14ac:dyDescent="0.2">
      <c r="A71" s="2" t="s">
        <v>6</v>
      </c>
      <c r="B71" s="2" t="s">
        <v>159</v>
      </c>
      <c r="C71" s="7" t="s">
        <v>45</v>
      </c>
      <c r="D71" s="3">
        <v>29.99</v>
      </c>
      <c r="E71" s="2">
        <v>350</v>
      </c>
      <c r="F71" s="2">
        <v>10586</v>
      </c>
      <c r="G71" s="3">
        <f>D71*F71</f>
        <v>317474.13999999996</v>
      </c>
    </row>
    <row r="72" spans="1:7" x14ac:dyDescent="0.2">
      <c r="A72" s="2" t="s">
        <v>161</v>
      </c>
      <c r="B72" s="2" t="s">
        <v>162</v>
      </c>
      <c r="C72" s="2" t="s">
        <v>163</v>
      </c>
      <c r="D72" s="3">
        <v>54.99</v>
      </c>
      <c r="E72" s="2">
        <v>383</v>
      </c>
      <c r="F72" s="2">
        <v>26464</v>
      </c>
      <c r="G72" s="3">
        <f t="shared" ref="G72:G101" si="0">D72*F72</f>
        <v>1455255.36</v>
      </c>
    </row>
    <row r="73" spans="1:7" x14ac:dyDescent="0.2">
      <c r="A73" s="2" t="s">
        <v>161</v>
      </c>
      <c r="B73" s="2" t="s">
        <v>164</v>
      </c>
      <c r="C73" s="2" t="s">
        <v>165</v>
      </c>
      <c r="D73" s="3">
        <v>79.5</v>
      </c>
      <c r="E73" s="2">
        <v>366</v>
      </c>
      <c r="F73" s="2">
        <v>13329</v>
      </c>
      <c r="G73" s="3">
        <f t="shared" si="0"/>
        <v>1059655.5</v>
      </c>
    </row>
    <row r="74" spans="1:7" x14ac:dyDescent="0.2">
      <c r="A74" s="2" t="s">
        <v>161</v>
      </c>
      <c r="B74" s="2" t="s">
        <v>166</v>
      </c>
      <c r="C74" s="2" t="s">
        <v>167</v>
      </c>
      <c r="D74" s="3">
        <v>89.9</v>
      </c>
      <c r="E74" s="2">
        <v>267</v>
      </c>
      <c r="F74" s="2">
        <v>9606</v>
      </c>
      <c r="G74" s="3">
        <f t="shared" si="0"/>
        <v>863579.4</v>
      </c>
    </row>
    <row r="75" spans="1:7" x14ac:dyDescent="0.2">
      <c r="A75" s="2" t="s">
        <v>161</v>
      </c>
      <c r="B75" s="2" t="s">
        <v>168</v>
      </c>
      <c r="C75" s="2" t="s">
        <v>169</v>
      </c>
      <c r="D75" s="3">
        <v>19.989999999999998</v>
      </c>
      <c r="E75" s="2">
        <v>105</v>
      </c>
      <c r="F75" s="2">
        <v>23634</v>
      </c>
      <c r="G75" s="3">
        <f t="shared" si="0"/>
        <v>472443.66</v>
      </c>
    </row>
    <row r="76" spans="1:7" x14ac:dyDescent="0.2">
      <c r="A76" s="2" t="s">
        <v>161</v>
      </c>
      <c r="B76" s="2" t="s">
        <v>170</v>
      </c>
      <c r="C76" s="2" t="s">
        <v>171</v>
      </c>
      <c r="D76" s="3">
        <v>399.95</v>
      </c>
      <c r="E76" s="2">
        <v>13</v>
      </c>
      <c r="F76" s="2">
        <v>5343</v>
      </c>
      <c r="G76" s="3">
        <f t="shared" si="0"/>
        <v>2136932.85</v>
      </c>
    </row>
    <row r="77" spans="1:7" x14ac:dyDescent="0.2">
      <c r="A77" s="2" t="s">
        <v>161</v>
      </c>
      <c r="B77" s="2" t="s">
        <v>172</v>
      </c>
      <c r="C77" s="2" t="s">
        <v>173</v>
      </c>
      <c r="D77" s="3">
        <v>125.5</v>
      </c>
      <c r="E77" s="2">
        <v>458</v>
      </c>
      <c r="F77" s="2">
        <v>26866</v>
      </c>
      <c r="G77" s="3">
        <f t="shared" si="0"/>
        <v>3371683</v>
      </c>
    </row>
    <row r="78" spans="1:7" x14ac:dyDescent="0.2">
      <c r="A78" s="2" t="s">
        <v>161</v>
      </c>
      <c r="B78" s="2" t="s">
        <v>174</v>
      </c>
      <c r="C78" s="2" t="s">
        <v>175</v>
      </c>
      <c r="D78" s="3">
        <v>174.99</v>
      </c>
      <c r="E78" s="2">
        <v>196</v>
      </c>
      <c r="F78" s="2">
        <v>27674</v>
      </c>
      <c r="G78" s="3">
        <f t="shared" si="0"/>
        <v>4842673.2600000007</v>
      </c>
    </row>
    <row r="79" spans="1:7" x14ac:dyDescent="0.2">
      <c r="A79" s="2" t="s">
        <v>161</v>
      </c>
      <c r="B79" s="2" t="s">
        <v>176</v>
      </c>
      <c r="C79" s="2" t="s">
        <v>177</v>
      </c>
      <c r="D79" s="3">
        <v>209.25</v>
      </c>
      <c r="E79" s="2">
        <v>311</v>
      </c>
      <c r="F79" s="2">
        <v>14886</v>
      </c>
      <c r="G79" s="3">
        <f t="shared" si="0"/>
        <v>3114895.5</v>
      </c>
    </row>
    <row r="80" spans="1:7" x14ac:dyDescent="0.2">
      <c r="A80" s="2" t="s">
        <v>161</v>
      </c>
      <c r="B80" s="2" t="s">
        <v>178</v>
      </c>
      <c r="C80" s="2" t="s">
        <v>179</v>
      </c>
      <c r="D80" s="3">
        <v>254</v>
      </c>
      <c r="E80" s="2">
        <v>257</v>
      </c>
      <c r="F80" s="2">
        <v>13984</v>
      </c>
      <c r="G80" s="3">
        <f t="shared" si="0"/>
        <v>3551936</v>
      </c>
    </row>
    <row r="81" spans="1:7" x14ac:dyDescent="0.2">
      <c r="A81" s="2" t="s">
        <v>180</v>
      </c>
      <c r="B81" s="2" t="s">
        <v>181</v>
      </c>
      <c r="C81" s="2" t="s">
        <v>182</v>
      </c>
      <c r="D81" s="3">
        <v>210</v>
      </c>
      <c r="E81" s="2">
        <v>44</v>
      </c>
      <c r="F81" s="2">
        <v>18761</v>
      </c>
      <c r="G81" s="3">
        <f t="shared" si="0"/>
        <v>3939810</v>
      </c>
    </row>
    <row r="82" spans="1:7" x14ac:dyDescent="0.2">
      <c r="A82" s="2" t="s">
        <v>180</v>
      </c>
      <c r="B82" s="2" t="s">
        <v>183</v>
      </c>
      <c r="C82" s="2" t="s">
        <v>184</v>
      </c>
      <c r="D82" s="3">
        <v>29.99</v>
      </c>
      <c r="E82" s="2">
        <v>262</v>
      </c>
      <c r="F82" s="2">
        <v>28791</v>
      </c>
      <c r="G82" s="3">
        <f t="shared" si="0"/>
        <v>863442.09</v>
      </c>
    </row>
    <row r="83" spans="1:7" x14ac:dyDescent="0.2">
      <c r="A83" s="2" t="s">
        <v>180</v>
      </c>
      <c r="B83" s="2" t="s">
        <v>185</v>
      </c>
      <c r="C83" s="2" t="s">
        <v>186</v>
      </c>
      <c r="D83" s="3">
        <v>149.25</v>
      </c>
      <c r="E83" s="2">
        <v>54</v>
      </c>
      <c r="F83" s="2">
        <v>19873</v>
      </c>
      <c r="G83" s="3">
        <f t="shared" si="0"/>
        <v>2966045.25</v>
      </c>
    </row>
    <row r="84" spans="1:7" x14ac:dyDescent="0.2">
      <c r="A84" s="2" t="s">
        <v>180</v>
      </c>
      <c r="B84" s="2" t="s">
        <v>187</v>
      </c>
      <c r="C84" s="2" t="s">
        <v>188</v>
      </c>
      <c r="D84" s="3">
        <v>37.89</v>
      </c>
      <c r="E84" s="2">
        <v>409</v>
      </c>
      <c r="F84" s="2">
        <v>37092</v>
      </c>
      <c r="G84" s="3">
        <f t="shared" si="0"/>
        <v>1405415.8800000001</v>
      </c>
    </row>
    <row r="85" spans="1:7" x14ac:dyDescent="0.2">
      <c r="A85" s="2" t="s">
        <v>180</v>
      </c>
      <c r="B85" s="2" t="s">
        <v>189</v>
      </c>
      <c r="C85" s="2" t="s">
        <v>190</v>
      </c>
      <c r="D85" s="3">
        <v>132.44999999999999</v>
      </c>
      <c r="E85" s="2">
        <v>28</v>
      </c>
      <c r="F85" s="2">
        <v>16230</v>
      </c>
      <c r="G85" s="3">
        <f t="shared" si="0"/>
        <v>2149663.5</v>
      </c>
    </row>
    <row r="86" spans="1:7" x14ac:dyDescent="0.2">
      <c r="A86" s="2" t="s">
        <v>180</v>
      </c>
      <c r="B86" s="2" t="s">
        <v>191</v>
      </c>
      <c r="C86" s="2" t="s">
        <v>192</v>
      </c>
      <c r="D86" s="3">
        <v>26.99</v>
      </c>
      <c r="E86" s="2">
        <v>143</v>
      </c>
      <c r="F86" s="2">
        <v>31279</v>
      </c>
      <c r="G86" s="3">
        <f t="shared" si="0"/>
        <v>844220.21</v>
      </c>
    </row>
    <row r="87" spans="1:7" x14ac:dyDescent="0.2">
      <c r="A87" s="2" t="s">
        <v>180</v>
      </c>
      <c r="B87" s="2" t="s">
        <v>193</v>
      </c>
      <c r="C87" s="2" t="s">
        <v>194</v>
      </c>
      <c r="D87" s="3">
        <v>52.99</v>
      </c>
      <c r="E87" s="2">
        <v>34</v>
      </c>
      <c r="F87" s="2">
        <v>14023</v>
      </c>
      <c r="G87" s="3">
        <f t="shared" si="0"/>
        <v>743078.77</v>
      </c>
    </row>
    <row r="88" spans="1:7" x14ac:dyDescent="0.2">
      <c r="A88" s="2" t="s">
        <v>180</v>
      </c>
      <c r="B88" s="2" t="s">
        <v>195</v>
      </c>
      <c r="C88" s="2" t="s">
        <v>196</v>
      </c>
      <c r="D88" s="3">
        <v>39.99</v>
      </c>
      <c r="E88" s="2">
        <v>330</v>
      </c>
      <c r="F88" s="2">
        <v>9377</v>
      </c>
      <c r="G88" s="3">
        <f t="shared" si="0"/>
        <v>374986.23000000004</v>
      </c>
    </row>
    <row r="89" spans="1:7" x14ac:dyDescent="0.2">
      <c r="A89" s="2" t="s">
        <v>180</v>
      </c>
      <c r="B89" s="2" t="s">
        <v>197</v>
      </c>
      <c r="C89" s="2" t="s">
        <v>198</v>
      </c>
      <c r="D89" s="3">
        <v>49</v>
      </c>
      <c r="E89" s="2">
        <v>984</v>
      </c>
      <c r="F89" s="2">
        <v>11045</v>
      </c>
      <c r="G89" s="3">
        <f t="shared" si="0"/>
        <v>541205</v>
      </c>
    </row>
    <row r="90" spans="1:7" x14ac:dyDescent="0.2">
      <c r="A90" s="2" t="s">
        <v>180</v>
      </c>
      <c r="B90" s="2" t="s">
        <v>199</v>
      </c>
      <c r="C90" s="2" t="s">
        <v>200</v>
      </c>
      <c r="D90" s="3">
        <v>79</v>
      </c>
      <c r="E90" s="2">
        <v>287</v>
      </c>
      <c r="F90" s="2">
        <v>14932</v>
      </c>
      <c r="G90" s="3">
        <f t="shared" si="0"/>
        <v>1179628</v>
      </c>
    </row>
    <row r="91" spans="1:7" x14ac:dyDescent="0.2">
      <c r="A91" s="2" t="s">
        <v>180</v>
      </c>
      <c r="B91" s="2" t="s">
        <v>201</v>
      </c>
      <c r="C91" s="2" t="s">
        <v>202</v>
      </c>
      <c r="D91" s="3">
        <v>109</v>
      </c>
      <c r="E91" s="2">
        <v>802</v>
      </c>
      <c r="F91" s="2">
        <v>21032</v>
      </c>
      <c r="G91" s="3">
        <f t="shared" si="0"/>
        <v>2292488</v>
      </c>
    </row>
    <row r="92" spans="1:7" x14ac:dyDescent="0.2">
      <c r="A92" s="2" t="s">
        <v>203</v>
      </c>
      <c r="B92" s="2" t="s">
        <v>204</v>
      </c>
      <c r="C92" s="2" t="s">
        <v>205</v>
      </c>
      <c r="D92" s="3">
        <v>45</v>
      </c>
      <c r="E92" s="2">
        <v>34</v>
      </c>
      <c r="F92" s="2">
        <v>16362</v>
      </c>
      <c r="G92" s="3">
        <f t="shared" si="0"/>
        <v>736290</v>
      </c>
    </row>
    <row r="93" spans="1:7" x14ac:dyDescent="0.2">
      <c r="A93" s="2" t="s">
        <v>203</v>
      </c>
      <c r="B93" s="2" t="s">
        <v>206</v>
      </c>
      <c r="C93" s="2" t="s">
        <v>207</v>
      </c>
      <c r="D93" s="3">
        <v>220</v>
      </c>
      <c r="E93" s="2">
        <v>330</v>
      </c>
      <c r="F93" s="2">
        <v>5757</v>
      </c>
      <c r="G93" s="3">
        <f t="shared" si="0"/>
        <v>1266540</v>
      </c>
    </row>
    <row r="94" spans="1:7" x14ac:dyDescent="0.2">
      <c r="A94" s="2" t="s">
        <v>203</v>
      </c>
      <c r="B94" s="2" t="s">
        <v>208</v>
      </c>
      <c r="C94" s="2" t="s">
        <v>209</v>
      </c>
      <c r="D94" s="3">
        <v>55</v>
      </c>
      <c r="E94" s="2">
        <v>409</v>
      </c>
      <c r="F94" s="2">
        <v>12978</v>
      </c>
      <c r="G94" s="3">
        <f t="shared" si="0"/>
        <v>713790</v>
      </c>
    </row>
    <row r="95" spans="1:7" x14ac:dyDescent="0.2">
      <c r="A95" s="2" t="s">
        <v>203</v>
      </c>
      <c r="B95" s="2" t="s">
        <v>210</v>
      </c>
      <c r="C95" s="2" t="s">
        <v>211</v>
      </c>
      <c r="D95" s="3">
        <v>55</v>
      </c>
      <c r="E95" s="2">
        <v>375</v>
      </c>
      <c r="F95" s="2">
        <v>10190</v>
      </c>
      <c r="G95" s="3">
        <f t="shared" si="0"/>
        <v>560450</v>
      </c>
    </row>
    <row r="96" spans="1:7" x14ac:dyDescent="0.2">
      <c r="A96" s="2" t="s">
        <v>203</v>
      </c>
      <c r="B96" s="2" t="s">
        <v>212</v>
      </c>
      <c r="C96" s="2" t="s">
        <v>213</v>
      </c>
      <c r="D96" s="3">
        <v>199</v>
      </c>
      <c r="E96" s="2">
        <v>1809</v>
      </c>
      <c r="F96" s="2">
        <v>20289</v>
      </c>
      <c r="G96" s="3">
        <f t="shared" si="0"/>
        <v>4037511</v>
      </c>
    </row>
    <row r="97" spans="1:7" x14ac:dyDescent="0.2">
      <c r="A97" s="2" t="s">
        <v>203</v>
      </c>
      <c r="B97" s="2" t="s">
        <v>214</v>
      </c>
      <c r="C97" s="2" t="s">
        <v>215</v>
      </c>
      <c r="D97" s="3">
        <v>134</v>
      </c>
      <c r="E97" s="2">
        <v>102</v>
      </c>
      <c r="F97" s="2">
        <v>21612</v>
      </c>
      <c r="G97" s="3">
        <f t="shared" si="0"/>
        <v>2896008</v>
      </c>
    </row>
    <row r="98" spans="1:7" x14ac:dyDescent="0.2">
      <c r="A98" s="2" t="s">
        <v>203</v>
      </c>
      <c r="B98" s="2" t="s">
        <v>216</v>
      </c>
      <c r="C98" s="2" t="s">
        <v>217</v>
      </c>
      <c r="D98" s="3">
        <v>299</v>
      </c>
      <c r="E98" s="2">
        <v>409</v>
      </c>
      <c r="F98" s="2">
        <v>9494</v>
      </c>
      <c r="G98" s="3">
        <f t="shared" si="0"/>
        <v>2838706</v>
      </c>
    </row>
    <row r="99" spans="1:7" x14ac:dyDescent="0.2">
      <c r="A99" s="2" t="s">
        <v>203</v>
      </c>
      <c r="B99" s="2" t="s">
        <v>218</v>
      </c>
      <c r="C99" s="2" t="s">
        <v>219</v>
      </c>
      <c r="D99" s="3">
        <v>230</v>
      </c>
      <c r="E99" s="2">
        <v>195</v>
      </c>
      <c r="F99" s="2">
        <v>19978</v>
      </c>
      <c r="G99" s="3">
        <f t="shared" si="0"/>
        <v>4594940</v>
      </c>
    </row>
    <row r="100" spans="1:7" x14ac:dyDescent="0.2">
      <c r="A100" s="2" t="s">
        <v>203</v>
      </c>
      <c r="B100" s="2" t="s">
        <v>220</v>
      </c>
      <c r="C100" s="2" t="s">
        <v>221</v>
      </c>
      <c r="D100" s="3">
        <v>495</v>
      </c>
      <c r="E100" s="2">
        <v>23</v>
      </c>
      <c r="F100" s="2">
        <v>16180</v>
      </c>
      <c r="G100" s="3">
        <f t="shared" si="0"/>
        <v>8009100</v>
      </c>
    </row>
    <row r="101" spans="1:7" x14ac:dyDescent="0.2">
      <c r="A101" s="2" t="s">
        <v>203</v>
      </c>
      <c r="B101" s="2" t="s">
        <v>222</v>
      </c>
      <c r="C101" s="2" t="s">
        <v>223</v>
      </c>
      <c r="D101" s="3">
        <v>199</v>
      </c>
      <c r="E101" s="2">
        <v>151</v>
      </c>
      <c r="F101" s="2">
        <v>42521</v>
      </c>
      <c r="G101" s="3">
        <f t="shared" si="0"/>
        <v>8461679</v>
      </c>
    </row>
  </sheetData>
  <pageMargins left="0.75" right="0.75" top="1" bottom="1" header="0.5" footer="0.5"/>
  <pageSetup orientation="portrait" horizontalDpi="4294967292" verticalDpi="4294967292"/>
  <tableParts count="1">
    <tablePart r:id="rId1"/>
  </tableParts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 tint="0.59999389629810485"/>
  </sheetPr>
  <dimension ref="A1:B12"/>
  <sheetViews>
    <sheetView topLeftCell="A3" zoomScale="99" workbookViewId="0">
      <selection activeCell="A23" sqref="A23"/>
    </sheetView>
  </sheetViews>
  <sheetFormatPr baseColWidth="10" defaultRowHeight="16" x14ac:dyDescent="0.2"/>
  <cols>
    <col min="1" max="1" width="14.33203125" customWidth="1"/>
    <col min="2" max="2" width="16.33203125" customWidth="1"/>
  </cols>
  <sheetData>
    <row r="1" spans="1:2" x14ac:dyDescent="0.2">
      <c r="A1" t="s">
        <v>0</v>
      </c>
      <c r="B1" t="s">
        <v>5</v>
      </c>
    </row>
    <row r="2" spans="1:2" x14ac:dyDescent="0.2">
      <c r="A2" s="4" t="s">
        <v>9</v>
      </c>
      <c r="B2" s="1">
        <v>2841171.17</v>
      </c>
    </row>
    <row r="3" spans="1:2" x14ac:dyDescent="0.2">
      <c r="A3" s="4" t="s">
        <v>8</v>
      </c>
      <c r="B3" s="1">
        <v>8923356</v>
      </c>
    </row>
    <row r="4" spans="1:2" x14ac:dyDescent="0.2">
      <c r="A4" s="4" t="s">
        <v>7</v>
      </c>
      <c r="B4" s="1">
        <v>5735648.7999999998</v>
      </c>
    </row>
    <row r="5" spans="1:2" x14ac:dyDescent="0.2">
      <c r="A5" s="4" t="s">
        <v>13</v>
      </c>
      <c r="B5" s="1">
        <v>6151402.4900000002</v>
      </c>
    </row>
    <row r="6" spans="1:2" x14ac:dyDescent="0.2">
      <c r="A6" s="4" t="s">
        <v>161</v>
      </c>
      <c r="B6" s="1">
        <v>20869054.530000001</v>
      </c>
    </row>
    <row r="7" spans="1:2" x14ac:dyDescent="0.2">
      <c r="A7" s="4" t="s">
        <v>10</v>
      </c>
      <c r="B7" s="1">
        <v>9074381</v>
      </c>
    </row>
    <row r="8" spans="1:2" x14ac:dyDescent="0.2">
      <c r="A8" s="4" t="s">
        <v>12</v>
      </c>
      <c r="B8" s="1">
        <v>9810531</v>
      </c>
    </row>
    <row r="9" spans="1:2" x14ac:dyDescent="0.2">
      <c r="A9" s="4" t="s">
        <v>224</v>
      </c>
      <c r="B9" s="1">
        <v>17299982.93</v>
      </c>
    </row>
    <row r="10" spans="1:2" x14ac:dyDescent="0.2">
      <c r="A10" s="4" t="s">
        <v>203</v>
      </c>
      <c r="B10" s="1">
        <v>34115014</v>
      </c>
    </row>
    <row r="11" spans="1:2" ht="17" thickBot="1" x14ac:dyDescent="0.25">
      <c r="A11" s="10" t="s">
        <v>6</v>
      </c>
      <c r="B11" s="11">
        <v>6438388.3099999996</v>
      </c>
    </row>
    <row r="12" spans="1:2" ht="17" thickTop="1" x14ac:dyDescent="0.2">
      <c r="A12" s="4" t="s">
        <v>78</v>
      </c>
      <c r="B12" s="1">
        <f>SUM(B2:B11)</f>
        <v>121258930.23</v>
      </c>
    </row>
  </sheetData>
  <pageMargins left="0.75" right="0.75" top="1" bottom="1" header="0.5" footer="0.5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15776-9A04-C740-BBAF-6F0883D95BBC}">
  <sheetPr>
    <tabColor theme="9" tint="0.39997558519241921"/>
  </sheetPr>
  <dimension ref="A1:G101"/>
  <sheetViews>
    <sheetView tabSelected="1" workbookViewId="0">
      <selection activeCell="G109" sqref="G109"/>
    </sheetView>
  </sheetViews>
  <sheetFormatPr baseColWidth="10" defaultRowHeight="16" x14ac:dyDescent="0.2"/>
  <cols>
    <col min="1" max="2" width="18.33203125" style="2" customWidth="1"/>
    <col min="3" max="3" width="53.83203125" style="2" customWidth="1"/>
    <col min="4" max="4" width="15.5" style="3" customWidth="1"/>
    <col min="5" max="5" width="14.33203125" style="3" customWidth="1"/>
    <col min="6" max="6" width="11.1640625" style="2" customWidth="1"/>
    <col min="7" max="7" width="20.83203125" customWidth="1"/>
  </cols>
  <sheetData>
    <row r="1" spans="1:7" x14ac:dyDescent="0.2">
      <c r="A1" s="5" t="s">
        <v>88</v>
      </c>
      <c r="B1" s="5" t="s">
        <v>89</v>
      </c>
      <c r="C1" s="5" t="s">
        <v>90</v>
      </c>
      <c r="D1" s="8" t="s">
        <v>85</v>
      </c>
      <c r="E1" s="8" t="s">
        <v>86</v>
      </c>
      <c r="F1" s="5" t="s">
        <v>2</v>
      </c>
      <c r="G1" s="9" t="s">
        <v>87</v>
      </c>
    </row>
    <row r="2" spans="1:7" x14ac:dyDescent="0.2">
      <c r="A2" s="2" t="s">
        <v>6</v>
      </c>
      <c r="B2" s="2" t="s">
        <v>147</v>
      </c>
      <c r="C2" s="7" t="s">
        <v>49</v>
      </c>
      <c r="D2" s="3">
        <v>36.99</v>
      </c>
      <c r="E2" s="3">
        <v>14.0562</v>
      </c>
      <c r="F2" s="2">
        <v>472</v>
      </c>
      <c r="G2" s="1">
        <f>E2*F2</f>
        <v>6634.5264000000006</v>
      </c>
    </row>
    <row r="3" spans="1:7" x14ac:dyDescent="0.2">
      <c r="A3" s="2" t="s">
        <v>6</v>
      </c>
      <c r="B3" s="2" t="s">
        <v>148</v>
      </c>
      <c r="C3" s="7" t="s">
        <v>55</v>
      </c>
      <c r="D3" s="3">
        <v>49.95</v>
      </c>
      <c r="E3" s="3">
        <v>18.981000000000002</v>
      </c>
      <c r="F3" s="2">
        <v>448</v>
      </c>
      <c r="G3" s="1">
        <f>E3*F3</f>
        <v>8503.4880000000012</v>
      </c>
    </row>
    <row r="4" spans="1:7" x14ac:dyDescent="0.2">
      <c r="A4" s="2" t="s">
        <v>9</v>
      </c>
      <c r="B4" s="2" t="s">
        <v>91</v>
      </c>
      <c r="C4" s="7" t="s">
        <v>22</v>
      </c>
      <c r="D4" s="3">
        <v>9.99</v>
      </c>
      <c r="E4" s="3">
        <v>3.7962000000000002</v>
      </c>
      <c r="F4" s="2">
        <v>243</v>
      </c>
      <c r="G4" s="1">
        <f>E4*F4</f>
        <v>922.47660000000008</v>
      </c>
    </row>
    <row r="5" spans="1:7" x14ac:dyDescent="0.2">
      <c r="A5" s="2" t="s">
        <v>13</v>
      </c>
      <c r="B5" s="2" t="s">
        <v>116</v>
      </c>
      <c r="C5" s="7" t="s">
        <v>29</v>
      </c>
      <c r="D5" s="3">
        <v>23.99</v>
      </c>
      <c r="E5" s="3">
        <v>9.1161999999999992</v>
      </c>
      <c r="F5" s="2">
        <v>796</v>
      </c>
      <c r="G5" s="1">
        <f>E5*F5</f>
        <v>7256.4951999999994</v>
      </c>
    </row>
    <row r="6" spans="1:7" x14ac:dyDescent="0.2">
      <c r="A6" s="2" t="s">
        <v>203</v>
      </c>
      <c r="B6" s="2" t="s">
        <v>204</v>
      </c>
      <c r="C6" s="2" t="s">
        <v>205</v>
      </c>
      <c r="D6" s="3">
        <v>45</v>
      </c>
      <c r="E6" s="3">
        <v>17.099099101496751</v>
      </c>
      <c r="F6" s="2">
        <v>34</v>
      </c>
      <c r="G6" s="1">
        <f>E6*F6</f>
        <v>581.36936945088951</v>
      </c>
    </row>
    <row r="7" spans="1:7" x14ac:dyDescent="0.2">
      <c r="A7" s="2" t="s">
        <v>203</v>
      </c>
      <c r="B7" s="2" t="s">
        <v>206</v>
      </c>
      <c r="C7" s="2" t="s">
        <v>207</v>
      </c>
      <c r="D7" s="3">
        <v>220</v>
      </c>
      <c r="E7" s="3">
        <v>83.595595607317463</v>
      </c>
      <c r="F7" s="2">
        <v>330</v>
      </c>
      <c r="G7" s="1">
        <f>E7*F7</f>
        <v>27586.546550414761</v>
      </c>
    </row>
    <row r="8" spans="1:7" x14ac:dyDescent="0.2">
      <c r="A8" s="2" t="s">
        <v>9</v>
      </c>
      <c r="B8" s="2" t="s">
        <v>92</v>
      </c>
      <c r="C8" s="7" t="s">
        <v>19</v>
      </c>
      <c r="D8" s="3">
        <v>8.99</v>
      </c>
      <c r="E8" s="3">
        <v>3.4161999999999999</v>
      </c>
      <c r="F8" s="2">
        <v>351</v>
      </c>
      <c r="G8" s="1">
        <f>E8*F8</f>
        <v>1199.0862</v>
      </c>
    </row>
    <row r="9" spans="1:7" x14ac:dyDescent="0.2">
      <c r="A9" s="2" t="s">
        <v>13</v>
      </c>
      <c r="B9" s="2" t="s">
        <v>117</v>
      </c>
      <c r="C9" s="7" t="s">
        <v>14</v>
      </c>
      <c r="D9" s="3">
        <v>24.95</v>
      </c>
      <c r="E9" s="3">
        <v>9.4809999999999999</v>
      </c>
      <c r="F9" s="2">
        <v>380</v>
      </c>
      <c r="G9" s="1">
        <f>E9*F9</f>
        <v>3602.7799999999997</v>
      </c>
    </row>
    <row r="10" spans="1:7" x14ac:dyDescent="0.2">
      <c r="A10" s="2" t="s">
        <v>13</v>
      </c>
      <c r="B10" s="2" t="s">
        <v>118</v>
      </c>
      <c r="C10" s="2" t="s">
        <v>15</v>
      </c>
      <c r="D10" s="3">
        <v>24.99</v>
      </c>
      <c r="E10" s="3">
        <v>9.4962</v>
      </c>
      <c r="F10" s="2">
        <v>173</v>
      </c>
      <c r="G10" s="1">
        <f>E10*F10</f>
        <v>1642.8425999999999</v>
      </c>
    </row>
    <row r="11" spans="1:7" x14ac:dyDescent="0.2">
      <c r="A11" s="2" t="s">
        <v>7</v>
      </c>
      <c r="B11" s="2" t="s">
        <v>100</v>
      </c>
      <c r="C11" s="7" t="s">
        <v>59</v>
      </c>
      <c r="D11" s="3">
        <v>54</v>
      </c>
      <c r="E11" s="3">
        <v>20.52</v>
      </c>
      <c r="F11" s="2">
        <v>281</v>
      </c>
      <c r="G11" s="1">
        <f>E11*F11</f>
        <v>5766.12</v>
      </c>
    </row>
    <row r="12" spans="1:7" x14ac:dyDescent="0.2">
      <c r="A12" s="2" t="s">
        <v>7</v>
      </c>
      <c r="B12" s="2" t="s">
        <v>101</v>
      </c>
      <c r="C12" s="7" t="s">
        <v>60</v>
      </c>
      <c r="D12" s="3">
        <v>58.95</v>
      </c>
      <c r="E12" s="3">
        <v>22.401</v>
      </c>
      <c r="F12" s="2">
        <v>438</v>
      </c>
      <c r="G12" s="1">
        <f>E12*F12</f>
        <v>9811.637999999999</v>
      </c>
    </row>
    <row r="13" spans="1:7" x14ac:dyDescent="0.2">
      <c r="A13" s="2" t="s">
        <v>7</v>
      </c>
      <c r="B13" s="2" t="s">
        <v>102</v>
      </c>
      <c r="C13" s="7" t="s">
        <v>61</v>
      </c>
      <c r="D13" s="3">
        <v>69</v>
      </c>
      <c r="E13" s="3">
        <v>26.22</v>
      </c>
      <c r="F13" s="2">
        <v>189</v>
      </c>
      <c r="G13" s="1">
        <f>E13*F13</f>
        <v>4955.58</v>
      </c>
    </row>
    <row r="14" spans="1:7" x14ac:dyDescent="0.2">
      <c r="A14" s="2" t="s">
        <v>7</v>
      </c>
      <c r="B14" s="2" t="s">
        <v>103</v>
      </c>
      <c r="C14" s="7" t="s">
        <v>62</v>
      </c>
      <c r="D14" s="3">
        <v>89</v>
      </c>
      <c r="E14" s="3">
        <v>33.82</v>
      </c>
      <c r="F14" s="2">
        <v>127</v>
      </c>
      <c r="G14" s="1">
        <f>E14*F14</f>
        <v>4295.1400000000003</v>
      </c>
    </row>
    <row r="15" spans="1:7" x14ac:dyDescent="0.2">
      <c r="A15" s="2" t="s">
        <v>7</v>
      </c>
      <c r="B15" s="2" t="s">
        <v>104</v>
      </c>
      <c r="C15" s="7" t="s">
        <v>63</v>
      </c>
      <c r="D15" s="3">
        <v>89.95</v>
      </c>
      <c r="E15" s="3">
        <v>34.181000000000004</v>
      </c>
      <c r="F15" s="2">
        <v>334</v>
      </c>
      <c r="G15" s="1">
        <f>E15*F15</f>
        <v>11416.454000000002</v>
      </c>
    </row>
    <row r="16" spans="1:7" x14ac:dyDescent="0.2">
      <c r="A16" s="2" t="s">
        <v>7</v>
      </c>
      <c r="B16" s="2" t="s">
        <v>105</v>
      </c>
      <c r="C16" s="7" t="s">
        <v>64</v>
      </c>
      <c r="D16" s="3">
        <v>119</v>
      </c>
      <c r="E16" s="3">
        <v>45.22</v>
      </c>
      <c r="F16" s="2">
        <v>17</v>
      </c>
      <c r="G16" s="1">
        <f>E16*F16</f>
        <v>768.74</v>
      </c>
    </row>
    <row r="17" spans="1:7" x14ac:dyDescent="0.2">
      <c r="A17" s="2" t="s">
        <v>7</v>
      </c>
      <c r="B17" s="2" t="s">
        <v>106</v>
      </c>
      <c r="C17" s="7" t="s">
        <v>65</v>
      </c>
      <c r="D17" s="3">
        <v>129.94999999999999</v>
      </c>
      <c r="E17" s="3">
        <v>49.380999999999993</v>
      </c>
      <c r="F17" s="2">
        <v>123</v>
      </c>
      <c r="G17" s="1">
        <f>E17*F17</f>
        <v>6073.8629999999994</v>
      </c>
    </row>
    <row r="18" spans="1:7" x14ac:dyDescent="0.2">
      <c r="A18" s="2" t="s">
        <v>7</v>
      </c>
      <c r="B18" s="2" t="s">
        <v>107</v>
      </c>
      <c r="C18" s="7" t="s">
        <v>66</v>
      </c>
      <c r="D18" s="3">
        <v>167</v>
      </c>
      <c r="E18" s="3">
        <v>63.46</v>
      </c>
      <c r="F18" s="2">
        <v>160</v>
      </c>
      <c r="G18" s="1">
        <f>E18*F18</f>
        <v>10153.6</v>
      </c>
    </row>
    <row r="19" spans="1:7" x14ac:dyDescent="0.2">
      <c r="A19" s="2" t="s">
        <v>7</v>
      </c>
      <c r="B19" s="2" t="s">
        <v>108</v>
      </c>
      <c r="C19" s="7" t="s">
        <v>67</v>
      </c>
      <c r="D19" s="3">
        <v>179</v>
      </c>
      <c r="E19" s="3">
        <v>68.02</v>
      </c>
      <c r="F19" s="2">
        <v>409</v>
      </c>
      <c r="G19" s="1">
        <f>E19*F19</f>
        <v>27820.179999999997</v>
      </c>
    </row>
    <row r="20" spans="1:7" x14ac:dyDescent="0.2">
      <c r="A20" s="2" t="s">
        <v>11</v>
      </c>
      <c r="B20" s="2" t="s">
        <v>135</v>
      </c>
      <c r="C20" s="7" t="s">
        <v>68</v>
      </c>
      <c r="D20" s="3">
        <v>189</v>
      </c>
      <c r="E20" s="3">
        <v>71.820000000000007</v>
      </c>
      <c r="F20" s="2">
        <v>493</v>
      </c>
      <c r="G20" s="1">
        <f>E20*F20</f>
        <v>35407.26</v>
      </c>
    </row>
    <row r="21" spans="1:7" x14ac:dyDescent="0.2">
      <c r="A21" s="2" t="s">
        <v>11</v>
      </c>
      <c r="B21" s="2" t="s">
        <v>136</v>
      </c>
      <c r="C21" s="7" t="s">
        <v>69</v>
      </c>
      <c r="D21" s="3">
        <v>189</v>
      </c>
      <c r="E21" s="3">
        <v>71.820000000000007</v>
      </c>
      <c r="F21" s="2">
        <v>275</v>
      </c>
      <c r="G21" s="1">
        <f>E21*F21</f>
        <v>19750.500000000004</v>
      </c>
    </row>
    <row r="22" spans="1:7" x14ac:dyDescent="0.2">
      <c r="A22" s="2" t="s">
        <v>11</v>
      </c>
      <c r="B22" s="2" t="s">
        <v>137</v>
      </c>
      <c r="C22" s="7" t="s">
        <v>70</v>
      </c>
      <c r="D22" s="3">
        <v>189</v>
      </c>
      <c r="E22" s="3">
        <v>71.820000000000007</v>
      </c>
      <c r="F22" s="2">
        <v>331</v>
      </c>
      <c r="G22" s="1">
        <f>E22*F22</f>
        <v>23772.420000000002</v>
      </c>
    </row>
    <row r="23" spans="1:7" x14ac:dyDescent="0.2">
      <c r="A23" s="2" t="s">
        <v>11</v>
      </c>
      <c r="B23" s="2" t="s">
        <v>138</v>
      </c>
      <c r="C23" s="7" t="s">
        <v>71</v>
      </c>
      <c r="D23" s="3">
        <v>214</v>
      </c>
      <c r="E23" s="3">
        <v>81.320000000000007</v>
      </c>
      <c r="F23" s="2">
        <v>203</v>
      </c>
      <c r="G23" s="1">
        <f>E23*F23</f>
        <v>16507.960000000003</v>
      </c>
    </row>
    <row r="24" spans="1:7" x14ac:dyDescent="0.2">
      <c r="A24" s="2" t="s">
        <v>11</v>
      </c>
      <c r="B24" s="2" t="s">
        <v>139</v>
      </c>
      <c r="C24" s="7" t="s">
        <v>72</v>
      </c>
      <c r="D24" s="3">
        <v>225</v>
      </c>
      <c r="E24" s="3">
        <v>85.5</v>
      </c>
      <c r="F24" s="2">
        <v>126</v>
      </c>
      <c r="G24" s="1">
        <f>E24*F24</f>
        <v>10773</v>
      </c>
    </row>
    <row r="25" spans="1:7" x14ac:dyDescent="0.2">
      <c r="A25" s="2" t="s">
        <v>11</v>
      </c>
      <c r="B25" s="2" t="s">
        <v>140</v>
      </c>
      <c r="C25" s="7" t="s">
        <v>73</v>
      </c>
      <c r="D25" s="3">
        <v>245</v>
      </c>
      <c r="E25" s="3">
        <v>93.1</v>
      </c>
      <c r="F25" s="2">
        <v>231</v>
      </c>
      <c r="G25" s="1">
        <f>E25*F25</f>
        <v>21506.1</v>
      </c>
    </row>
    <row r="26" spans="1:7" x14ac:dyDescent="0.2">
      <c r="A26" s="2" t="s">
        <v>13</v>
      </c>
      <c r="B26" s="2" t="s">
        <v>119</v>
      </c>
      <c r="C26" s="7" t="s">
        <v>33</v>
      </c>
      <c r="D26" s="3">
        <v>12.99</v>
      </c>
      <c r="E26" s="3">
        <v>4.9362000000000004</v>
      </c>
      <c r="F26" s="2">
        <v>312</v>
      </c>
      <c r="G26" s="1">
        <f>E26*F26</f>
        <v>1540.0944000000002</v>
      </c>
    </row>
    <row r="27" spans="1:7" x14ac:dyDescent="0.2">
      <c r="A27" s="2" t="s">
        <v>9</v>
      </c>
      <c r="B27" s="2" t="s">
        <v>93</v>
      </c>
      <c r="C27" s="7" t="s">
        <v>21</v>
      </c>
      <c r="D27" s="3">
        <v>4.99</v>
      </c>
      <c r="E27" s="3">
        <v>1.8962000000000001</v>
      </c>
      <c r="F27" s="2">
        <v>2229</v>
      </c>
      <c r="G27" s="1">
        <f>E27*F27</f>
        <v>4226.6298000000006</v>
      </c>
    </row>
    <row r="28" spans="1:7" x14ac:dyDescent="0.2">
      <c r="A28" s="2" t="s">
        <v>6</v>
      </c>
      <c r="B28" s="2" t="s">
        <v>149</v>
      </c>
      <c r="C28" s="7" t="s">
        <v>46</v>
      </c>
      <c r="D28" s="3">
        <v>29.99</v>
      </c>
      <c r="E28" s="3">
        <v>11.3962</v>
      </c>
      <c r="F28" s="2">
        <v>436</v>
      </c>
      <c r="G28" s="1">
        <f>E28*F28</f>
        <v>4968.7431999999999</v>
      </c>
    </row>
    <row r="29" spans="1:7" x14ac:dyDescent="0.2">
      <c r="A29" s="2" t="s">
        <v>9</v>
      </c>
      <c r="B29" s="2" t="s">
        <v>94</v>
      </c>
      <c r="C29" s="2" t="s">
        <v>17</v>
      </c>
      <c r="D29" s="3">
        <v>12</v>
      </c>
      <c r="E29" s="3">
        <v>4.5600000000000005</v>
      </c>
      <c r="F29" s="2">
        <v>321</v>
      </c>
      <c r="G29" s="1">
        <f>E29*F29</f>
        <v>1463.7600000000002</v>
      </c>
    </row>
    <row r="30" spans="1:7" x14ac:dyDescent="0.2">
      <c r="A30" s="2" t="s">
        <v>8</v>
      </c>
      <c r="B30" s="2" t="s">
        <v>109</v>
      </c>
      <c r="C30" s="7" t="s">
        <v>75</v>
      </c>
      <c r="D30" s="3">
        <v>399</v>
      </c>
      <c r="E30" s="3">
        <v>151.62</v>
      </c>
      <c r="F30" s="2">
        <v>309</v>
      </c>
      <c r="G30" s="1">
        <f>E30*F30</f>
        <v>46850.58</v>
      </c>
    </row>
    <row r="31" spans="1:7" x14ac:dyDescent="0.2">
      <c r="A31" s="2" t="s">
        <v>8</v>
      </c>
      <c r="B31" s="2" t="s">
        <v>110</v>
      </c>
      <c r="C31" s="7" t="s">
        <v>44</v>
      </c>
      <c r="D31" s="3">
        <v>395</v>
      </c>
      <c r="E31" s="3">
        <v>150.1</v>
      </c>
      <c r="F31" s="2">
        <v>159</v>
      </c>
      <c r="G31" s="1">
        <f>E31*F31</f>
        <v>23865.899999999998</v>
      </c>
    </row>
    <row r="32" spans="1:7" x14ac:dyDescent="0.2">
      <c r="A32" s="2" t="s">
        <v>13</v>
      </c>
      <c r="B32" s="2" t="s">
        <v>120</v>
      </c>
      <c r="C32" s="7" t="s">
        <v>41</v>
      </c>
      <c r="D32" s="3">
        <v>14.99</v>
      </c>
      <c r="E32" s="3">
        <v>5.6962000000000002</v>
      </c>
      <c r="F32" s="2">
        <v>429</v>
      </c>
      <c r="G32" s="1">
        <f>E32*F32</f>
        <v>2443.6698000000001</v>
      </c>
    </row>
    <row r="33" spans="1:7" x14ac:dyDescent="0.2">
      <c r="A33" s="2" t="s">
        <v>13</v>
      </c>
      <c r="B33" s="2" t="s">
        <v>121</v>
      </c>
      <c r="C33" s="7" t="s">
        <v>31</v>
      </c>
      <c r="D33" s="3">
        <v>16.989999999999998</v>
      </c>
      <c r="E33" s="3">
        <v>6.4561999999999991</v>
      </c>
      <c r="F33" s="2">
        <v>428</v>
      </c>
      <c r="G33" s="1">
        <f>E33*F33</f>
        <v>2763.2535999999996</v>
      </c>
    </row>
    <row r="34" spans="1:7" x14ac:dyDescent="0.2">
      <c r="A34" s="2" t="s">
        <v>13</v>
      </c>
      <c r="B34" s="2" t="s">
        <v>122</v>
      </c>
      <c r="C34" s="7" t="s">
        <v>25</v>
      </c>
      <c r="D34" s="3">
        <v>13.99</v>
      </c>
      <c r="E34" s="3">
        <v>5.3162000000000003</v>
      </c>
      <c r="F34" s="2">
        <v>79</v>
      </c>
      <c r="G34" s="1">
        <f>E34*F34</f>
        <v>419.97980000000001</v>
      </c>
    </row>
    <row r="35" spans="1:7" x14ac:dyDescent="0.2">
      <c r="A35" s="2" t="s">
        <v>6</v>
      </c>
      <c r="B35" s="2" t="s">
        <v>150</v>
      </c>
      <c r="C35" s="7" t="s">
        <v>50</v>
      </c>
      <c r="D35" s="3">
        <v>37.99</v>
      </c>
      <c r="E35" s="3">
        <v>14.436200000000001</v>
      </c>
      <c r="F35" s="2">
        <v>75</v>
      </c>
      <c r="G35" s="1">
        <f>E35*F35</f>
        <v>1082.7150000000001</v>
      </c>
    </row>
    <row r="36" spans="1:7" x14ac:dyDescent="0.2">
      <c r="A36" s="2" t="s">
        <v>8</v>
      </c>
      <c r="B36" s="2" t="s">
        <v>111</v>
      </c>
      <c r="C36" s="7" t="s">
        <v>76</v>
      </c>
      <c r="D36" s="3">
        <v>450</v>
      </c>
      <c r="E36" s="3">
        <v>171</v>
      </c>
      <c r="F36" s="2">
        <v>232</v>
      </c>
      <c r="G36" s="1">
        <f>E36*F36</f>
        <v>39672</v>
      </c>
    </row>
    <row r="37" spans="1:7" x14ac:dyDescent="0.2">
      <c r="A37" s="2" t="s">
        <v>8</v>
      </c>
      <c r="B37" s="2" t="s">
        <v>112</v>
      </c>
      <c r="C37" s="7" t="s">
        <v>74</v>
      </c>
      <c r="D37" s="3">
        <v>250</v>
      </c>
      <c r="E37" s="3">
        <v>95</v>
      </c>
      <c r="F37" s="2">
        <v>302</v>
      </c>
      <c r="G37" s="1">
        <f>E37*F37</f>
        <v>28690</v>
      </c>
    </row>
    <row r="38" spans="1:7" x14ac:dyDescent="0.2">
      <c r="A38" s="2" t="s">
        <v>8</v>
      </c>
      <c r="B38" s="2" t="s">
        <v>113</v>
      </c>
      <c r="C38" s="7" t="s">
        <v>77</v>
      </c>
      <c r="D38" s="3">
        <v>455</v>
      </c>
      <c r="E38" s="3">
        <v>172.9</v>
      </c>
      <c r="F38" s="2">
        <v>340</v>
      </c>
      <c r="G38" s="1">
        <f>E38*F38</f>
        <v>58786</v>
      </c>
    </row>
    <row r="39" spans="1:7" x14ac:dyDescent="0.2">
      <c r="A39" s="2" t="s">
        <v>8</v>
      </c>
      <c r="B39" s="2" t="s">
        <v>114</v>
      </c>
      <c r="C39" s="7" t="s">
        <v>43</v>
      </c>
      <c r="D39" s="3">
        <v>250</v>
      </c>
      <c r="E39" s="3">
        <v>95</v>
      </c>
      <c r="F39" s="2">
        <v>80</v>
      </c>
      <c r="G39" s="1">
        <f>E39*F39</f>
        <v>7600</v>
      </c>
    </row>
    <row r="40" spans="1:7" x14ac:dyDescent="0.2">
      <c r="A40" s="2" t="s">
        <v>13</v>
      </c>
      <c r="B40" s="2" t="s">
        <v>123</v>
      </c>
      <c r="C40" s="7" t="s">
        <v>35</v>
      </c>
      <c r="D40" s="3">
        <v>15.5</v>
      </c>
      <c r="E40" s="3">
        <v>5.89</v>
      </c>
      <c r="F40" s="2">
        <v>468</v>
      </c>
      <c r="G40" s="1">
        <f>E40*F40</f>
        <v>2756.52</v>
      </c>
    </row>
    <row r="41" spans="1:7" x14ac:dyDescent="0.2">
      <c r="A41" s="2" t="s">
        <v>13</v>
      </c>
      <c r="B41" s="2" t="s">
        <v>124</v>
      </c>
      <c r="C41" s="7" t="s">
        <v>38</v>
      </c>
      <c r="D41" s="3">
        <v>19.989999999999998</v>
      </c>
      <c r="E41" s="3">
        <v>7.5961999999999996</v>
      </c>
      <c r="F41" s="2">
        <v>405</v>
      </c>
      <c r="G41" s="1">
        <f>E41*F41</f>
        <v>3076.4609999999998</v>
      </c>
    </row>
    <row r="42" spans="1:7" x14ac:dyDescent="0.2">
      <c r="A42" s="2" t="s">
        <v>13</v>
      </c>
      <c r="B42" s="2" t="s">
        <v>125</v>
      </c>
      <c r="C42" s="7" t="s">
        <v>39</v>
      </c>
      <c r="D42" s="3">
        <v>20.95</v>
      </c>
      <c r="E42" s="3">
        <v>7.9609999999999994</v>
      </c>
      <c r="F42" s="2">
        <v>6</v>
      </c>
      <c r="G42" s="1">
        <f>E42*F42</f>
        <v>47.765999999999998</v>
      </c>
    </row>
    <row r="43" spans="1:7" x14ac:dyDescent="0.2">
      <c r="A43" s="2" t="s">
        <v>9</v>
      </c>
      <c r="B43" s="2" t="s">
        <v>95</v>
      </c>
      <c r="C43" s="7" t="s">
        <v>34</v>
      </c>
      <c r="D43" s="3">
        <v>8.99</v>
      </c>
      <c r="E43" s="3">
        <v>3.4161999999999999</v>
      </c>
      <c r="F43" s="2">
        <v>334</v>
      </c>
      <c r="G43" s="1">
        <f>E43*F43</f>
        <v>1141.0108</v>
      </c>
    </row>
    <row r="44" spans="1:7" x14ac:dyDescent="0.2">
      <c r="A44" s="2" t="s">
        <v>6</v>
      </c>
      <c r="B44" s="2" t="s">
        <v>151</v>
      </c>
      <c r="C44" s="7" t="s">
        <v>57</v>
      </c>
      <c r="D44" s="3">
        <v>49</v>
      </c>
      <c r="E44" s="3">
        <v>18.62</v>
      </c>
      <c r="F44" s="2">
        <v>252</v>
      </c>
      <c r="G44" s="1">
        <f>E44*F44</f>
        <v>4692.2400000000007</v>
      </c>
    </row>
    <row r="45" spans="1:7" x14ac:dyDescent="0.2">
      <c r="A45" s="2" t="s">
        <v>161</v>
      </c>
      <c r="B45" s="2" t="s">
        <v>168</v>
      </c>
      <c r="C45" s="2" t="s">
        <v>169</v>
      </c>
      <c r="D45" s="3">
        <v>19.989999999999998</v>
      </c>
      <c r="E45" s="3">
        <v>7.5957998008648904</v>
      </c>
      <c r="F45" s="2">
        <v>105</v>
      </c>
      <c r="G45" s="1">
        <f>E45*F45</f>
        <v>797.55897909081352</v>
      </c>
    </row>
    <row r="46" spans="1:7" x14ac:dyDescent="0.2">
      <c r="A46" s="2" t="s">
        <v>161</v>
      </c>
      <c r="B46" s="2" t="s">
        <v>164</v>
      </c>
      <c r="C46" s="2" t="s">
        <v>165</v>
      </c>
      <c r="D46" s="3">
        <v>79.5</v>
      </c>
      <c r="E46" s="3">
        <v>30.208408412644264</v>
      </c>
      <c r="F46" s="2">
        <v>366</v>
      </c>
      <c r="G46" s="1">
        <f>E46*F46</f>
        <v>11056.2774790278</v>
      </c>
    </row>
    <row r="47" spans="1:7" x14ac:dyDescent="0.2">
      <c r="A47" s="2" t="s">
        <v>161</v>
      </c>
      <c r="B47" s="2" t="s">
        <v>172</v>
      </c>
      <c r="C47" s="2" t="s">
        <v>173</v>
      </c>
      <c r="D47" s="3">
        <v>125.5</v>
      </c>
      <c r="E47" s="3">
        <v>47.687487494174277</v>
      </c>
      <c r="F47" s="2">
        <v>458</v>
      </c>
      <c r="G47" s="1">
        <f>E47*F47</f>
        <v>21840.86927233182</v>
      </c>
    </row>
    <row r="48" spans="1:7" x14ac:dyDescent="0.2">
      <c r="A48" s="2" t="s">
        <v>161</v>
      </c>
      <c r="B48" s="2" t="s">
        <v>174</v>
      </c>
      <c r="C48" s="2" t="s">
        <v>175</v>
      </c>
      <c r="D48" s="3">
        <v>174.99</v>
      </c>
      <c r="E48" s="3">
        <v>66.492696706020382</v>
      </c>
      <c r="F48" s="2">
        <v>196</v>
      </c>
      <c r="G48" s="1">
        <f>E48*F48</f>
        <v>13032.568554379995</v>
      </c>
    </row>
    <row r="49" spans="1:7" x14ac:dyDescent="0.2">
      <c r="A49" s="2" t="s">
        <v>161</v>
      </c>
      <c r="B49" s="2" t="s">
        <v>176</v>
      </c>
      <c r="C49" s="2" t="s">
        <v>177</v>
      </c>
      <c r="D49" s="3">
        <v>209.25</v>
      </c>
      <c r="E49" s="3">
        <v>79.510810821959893</v>
      </c>
      <c r="F49" s="2">
        <v>311</v>
      </c>
      <c r="G49" s="1">
        <f>E49*F49</f>
        <v>24727.862165629525</v>
      </c>
    </row>
    <row r="50" spans="1:7" x14ac:dyDescent="0.2">
      <c r="A50" s="2" t="s">
        <v>161</v>
      </c>
      <c r="B50" s="2" t="s">
        <v>178</v>
      </c>
      <c r="C50" s="2" t="s">
        <v>179</v>
      </c>
      <c r="D50" s="3">
        <v>254</v>
      </c>
      <c r="E50" s="3">
        <v>96.514914928448334</v>
      </c>
      <c r="F50" s="2">
        <v>257</v>
      </c>
      <c r="G50" s="1">
        <f>E50*F50</f>
        <v>24804.333136611222</v>
      </c>
    </row>
    <row r="51" spans="1:7" x14ac:dyDescent="0.2">
      <c r="A51" s="2" t="s">
        <v>161</v>
      </c>
      <c r="B51" s="2" t="s">
        <v>162</v>
      </c>
      <c r="C51" s="2" t="s">
        <v>163</v>
      </c>
      <c r="D51" s="3">
        <v>54.99</v>
      </c>
      <c r="E51" s="3">
        <v>20.895099102029032</v>
      </c>
      <c r="F51" s="2">
        <v>383</v>
      </c>
      <c r="G51" s="1">
        <f>E51*F51</f>
        <v>8002.8229560771197</v>
      </c>
    </row>
    <row r="52" spans="1:7" x14ac:dyDescent="0.2">
      <c r="A52" s="2" t="s">
        <v>161</v>
      </c>
      <c r="B52" s="2" t="s">
        <v>170</v>
      </c>
      <c r="C52" s="2" t="s">
        <v>171</v>
      </c>
      <c r="D52" s="3">
        <v>399.95</v>
      </c>
      <c r="E52" s="3">
        <v>151.9729930143028</v>
      </c>
      <c r="F52" s="2">
        <v>13</v>
      </c>
      <c r="G52" s="1">
        <f>E52*F52</f>
        <v>1975.6489091859364</v>
      </c>
    </row>
    <row r="53" spans="1:7" x14ac:dyDescent="0.2">
      <c r="A53" s="2" t="s">
        <v>161</v>
      </c>
      <c r="B53" s="2" t="s">
        <v>166</v>
      </c>
      <c r="C53" s="2" t="s">
        <v>167</v>
      </c>
      <c r="D53" s="3">
        <v>89.9</v>
      </c>
      <c r="E53" s="3">
        <v>34.160200204990183</v>
      </c>
      <c r="F53" s="2">
        <v>267</v>
      </c>
      <c r="G53" s="1">
        <f>E53*F53</f>
        <v>9120.773454732378</v>
      </c>
    </row>
    <row r="54" spans="1:7" x14ac:dyDescent="0.2">
      <c r="A54" s="2" t="s">
        <v>9</v>
      </c>
      <c r="B54" s="2" t="s">
        <v>96</v>
      </c>
      <c r="C54" s="7" t="s">
        <v>24</v>
      </c>
      <c r="D54" s="3">
        <v>12</v>
      </c>
      <c r="E54" s="3">
        <v>4.5600000000000005</v>
      </c>
      <c r="F54" s="2">
        <v>283</v>
      </c>
      <c r="G54" s="1">
        <f>E54*F54</f>
        <v>1290.4800000000002</v>
      </c>
    </row>
    <row r="55" spans="1:7" x14ac:dyDescent="0.2">
      <c r="A55" s="2" t="s">
        <v>6</v>
      </c>
      <c r="B55" s="2" t="s">
        <v>152</v>
      </c>
      <c r="C55" s="7" t="s">
        <v>51</v>
      </c>
      <c r="D55" s="3">
        <v>49</v>
      </c>
      <c r="E55" s="3">
        <v>18.62</v>
      </c>
      <c r="F55" s="2">
        <v>374</v>
      </c>
      <c r="G55" s="1">
        <f>E55*F55</f>
        <v>6963.88</v>
      </c>
    </row>
    <row r="56" spans="1:7" x14ac:dyDescent="0.2">
      <c r="A56" s="2" t="s">
        <v>10</v>
      </c>
      <c r="B56" s="2" t="s">
        <v>141</v>
      </c>
      <c r="C56" s="7" t="s">
        <v>84</v>
      </c>
      <c r="D56" s="3">
        <v>899</v>
      </c>
      <c r="E56" s="3">
        <v>341.62</v>
      </c>
      <c r="F56" s="2">
        <v>291</v>
      </c>
      <c r="G56" s="1">
        <f>E56*F56</f>
        <v>99411.42</v>
      </c>
    </row>
    <row r="57" spans="1:7" x14ac:dyDescent="0.2">
      <c r="A57" s="2" t="s">
        <v>8</v>
      </c>
      <c r="B57" s="2" t="s">
        <v>115</v>
      </c>
      <c r="C57" s="7" t="s">
        <v>48</v>
      </c>
      <c r="D57" s="3">
        <v>499</v>
      </c>
      <c r="E57" s="3">
        <v>189.62</v>
      </c>
      <c r="F57" s="2">
        <v>133</v>
      </c>
      <c r="G57" s="1">
        <f>E57*F57</f>
        <v>25219.46</v>
      </c>
    </row>
    <row r="58" spans="1:7" x14ac:dyDescent="0.2">
      <c r="A58" s="2" t="s">
        <v>13</v>
      </c>
      <c r="B58" s="2" t="s">
        <v>126</v>
      </c>
      <c r="C58" s="7" t="s">
        <v>36</v>
      </c>
      <c r="D58" s="3">
        <v>24.95</v>
      </c>
      <c r="E58" s="3">
        <v>9.4809999999999999</v>
      </c>
      <c r="F58" s="2">
        <v>220</v>
      </c>
      <c r="G58" s="1">
        <f>E58*F58</f>
        <v>2085.8200000000002</v>
      </c>
    </row>
    <row r="59" spans="1:7" x14ac:dyDescent="0.2">
      <c r="A59" s="2" t="s">
        <v>6</v>
      </c>
      <c r="B59" s="2" t="s">
        <v>153</v>
      </c>
      <c r="C59" s="7" t="s">
        <v>47</v>
      </c>
      <c r="D59" s="3">
        <v>32.950000000000003</v>
      </c>
      <c r="E59" s="3">
        <v>12.521000000000001</v>
      </c>
      <c r="F59" s="2">
        <v>376</v>
      </c>
      <c r="G59" s="1">
        <f>E59*F59</f>
        <v>4707.8960000000006</v>
      </c>
    </row>
    <row r="60" spans="1:7" x14ac:dyDescent="0.2">
      <c r="A60" s="2" t="s">
        <v>9</v>
      </c>
      <c r="B60" s="2" t="s">
        <v>97</v>
      </c>
      <c r="C60" s="7" t="s">
        <v>20</v>
      </c>
      <c r="D60" s="3">
        <v>7.99</v>
      </c>
      <c r="E60" s="3">
        <v>3.0362</v>
      </c>
      <c r="F60" s="2">
        <v>2276</v>
      </c>
      <c r="G60" s="1">
        <f>E60*F60</f>
        <v>6910.3912</v>
      </c>
    </row>
    <row r="61" spans="1:7" x14ac:dyDescent="0.2">
      <c r="A61" s="2" t="s">
        <v>13</v>
      </c>
      <c r="B61" s="2" t="s">
        <v>127</v>
      </c>
      <c r="C61" s="7" t="s">
        <v>42</v>
      </c>
      <c r="D61" s="3">
        <v>14.99</v>
      </c>
      <c r="E61" s="3">
        <v>5.6962000000000002</v>
      </c>
      <c r="F61" s="2">
        <v>326</v>
      </c>
      <c r="G61" s="1">
        <f>E61*F61</f>
        <v>1856.9612</v>
      </c>
    </row>
    <row r="62" spans="1:7" x14ac:dyDescent="0.2">
      <c r="A62" s="2" t="s">
        <v>13</v>
      </c>
      <c r="B62" s="2" t="s">
        <v>128</v>
      </c>
      <c r="C62" s="7" t="s">
        <v>28</v>
      </c>
      <c r="D62" s="3">
        <v>23.99</v>
      </c>
      <c r="E62" s="3">
        <v>9.1161999999999992</v>
      </c>
      <c r="F62" s="2">
        <v>375</v>
      </c>
      <c r="G62" s="1">
        <f>E62*F62</f>
        <v>3418.5749999999998</v>
      </c>
    </row>
    <row r="63" spans="1:7" x14ac:dyDescent="0.2">
      <c r="A63" s="2" t="s">
        <v>9</v>
      </c>
      <c r="B63" s="2" t="s">
        <v>98</v>
      </c>
      <c r="C63" s="2" t="s">
        <v>16</v>
      </c>
      <c r="D63" s="3">
        <v>10.99</v>
      </c>
      <c r="E63" s="3">
        <v>4.1761999999999997</v>
      </c>
      <c r="F63" s="2">
        <v>53</v>
      </c>
      <c r="G63" s="1">
        <f>E63*F63</f>
        <v>221.33859999999999</v>
      </c>
    </row>
    <row r="64" spans="1:7" x14ac:dyDescent="0.2">
      <c r="A64" s="2" t="s">
        <v>10</v>
      </c>
      <c r="B64" s="2" t="s">
        <v>142</v>
      </c>
      <c r="C64" s="7" t="s">
        <v>79</v>
      </c>
      <c r="D64" s="3">
        <v>549</v>
      </c>
      <c r="E64" s="3">
        <v>208.62</v>
      </c>
      <c r="F64" s="2">
        <v>296</v>
      </c>
      <c r="G64" s="1">
        <f>E64*F64</f>
        <v>61751.520000000004</v>
      </c>
    </row>
    <row r="65" spans="1:7" x14ac:dyDescent="0.2">
      <c r="A65" s="2" t="s">
        <v>180</v>
      </c>
      <c r="B65" s="2" t="s">
        <v>187</v>
      </c>
      <c r="C65" s="2" t="s">
        <v>188</v>
      </c>
      <c r="D65" s="3">
        <v>37.89</v>
      </c>
      <c r="E65" s="3">
        <v>14.397441443460266</v>
      </c>
      <c r="F65" s="2">
        <v>409</v>
      </c>
      <c r="G65" s="1">
        <f>E65*F65</f>
        <v>5888.553550375249</v>
      </c>
    </row>
    <row r="66" spans="1:7" x14ac:dyDescent="0.2">
      <c r="A66" s="2" t="s">
        <v>180</v>
      </c>
      <c r="B66" s="2" t="s">
        <v>193</v>
      </c>
      <c r="C66" s="2" t="s">
        <v>194</v>
      </c>
      <c r="D66" s="3">
        <v>52.99</v>
      </c>
      <c r="E66" s="3">
        <v>20.135139141962512</v>
      </c>
      <c r="F66" s="2">
        <v>34</v>
      </c>
      <c r="G66" s="1">
        <f>E66*F66</f>
        <v>684.59473082672537</v>
      </c>
    </row>
    <row r="67" spans="1:7" x14ac:dyDescent="0.2">
      <c r="A67" s="2" t="s">
        <v>180</v>
      </c>
      <c r="B67" s="2" t="s">
        <v>185</v>
      </c>
      <c r="C67" s="2" t="s">
        <v>186</v>
      </c>
      <c r="D67" s="3">
        <v>149.25</v>
      </c>
      <c r="E67" s="3">
        <v>56.712012019964227</v>
      </c>
      <c r="F67" s="2">
        <v>54</v>
      </c>
      <c r="G67" s="1">
        <f>E67*F67</f>
        <v>3062.4486490780682</v>
      </c>
    </row>
    <row r="68" spans="1:7" x14ac:dyDescent="0.2">
      <c r="A68" s="2" t="s">
        <v>180</v>
      </c>
      <c r="B68" s="2" t="s">
        <v>195</v>
      </c>
      <c r="C68" s="2" t="s">
        <v>196</v>
      </c>
      <c r="D68" s="3">
        <v>39.99</v>
      </c>
      <c r="E68" s="3">
        <v>15.195399401530114</v>
      </c>
      <c r="F68" s="2">
        <v>330</v>
      </c>
      <c r="G68" s="1">
        <f>E68*F68</f>
        <v>5014.4818025049381</v>
      </c>
    </row>
    <row r="69" spans="1:7" x14ac:dyDescent="0.2">
      <c r="A69" s="2" t="s">
        <v>180</v>
      </c>
      <c r="B69" s="2" t="s">
        <v>201</v>
      </c>
      <c r="C69" s="2" t="s">
        <v>202</v>
      </c>
      <c r="D69" s="3">
        <v>109</v>
      </c>
      <c r="E69" s="3">
        <v>41.417817823625469</v>
      </c>
      <c r="F69" s="2">
        <v>802</v>
      </c>
      <c r="G69" s="1">
        <f>E69*F69</f>
        <v>33217.089894547629</v>
      </c>
    </row>
    <row r="70" spans="1:7" x14ac:dyDescent="0.2">
      <c r="A70" s="2" t="s">
        <v>180</v>
      </c>
      <c r="B70" s="2" t="s">
        <v>197</v>
      </c>
      <c r="C70" s="2" t="s">
        <v>198</v>
      </c>
      <c r="D70" s="3">
        <v>49</v>
      </c>
      <c r="E70" s="3">
        <v>18.619019021629796</v>
      </c>
      <c r="F70" s="2">
        <v>984</v>
      </c>
      <c r="G70" s="1">
        <f>E70*F70</f>
        <v>18321.114717283719</v>
      </c>
    </row>
    <row r="71" spans="1:7" x14ac:dyDescent="0.2">
      <c r="A71" s="2" t="s">
        <v>180</v>
      </c>
      <c r="B71" s="2" t="s">
        <v>199</v>
      </c>
      <c r="C71" s="2" t="s">
        <v>200</v>
      </c>
      <c r="D71" s="3">
        <v>79</v>
      </c>
      <c r="E71" s="3">
        <v>30.018418422627633</v>
      </c>
      <c r="F71" s="2">
        <v>287</v>
      </c>
      <c r="G71" s="1">
        <f>E71*F71</f>
        <v>8615.286087294131</v>
      </c>
    </row>
    <row r="72" spans="1:7" x14ac:dyDescent="0.2">
      <c r="A72" s="2" t="s">
        <v>180</v>
      </c>
      <c r="B72" s="2" t="s">
        <v>189</v>
      </c>
      <c r="C72" s="2" t="s">
        <v>190</v>
      </c>
      <c r="D72" s="3">
        <v>132.44999999999999</v>
      </c>
      <c r="E72" s="3">
        <v>50.328348355405438</v>
      </c>
      <c r="F72" s="2">
        <v>28</v>
      </c>
      <c r="G72" s="1">
        <f>E72*F72</f>
        <v>1409.1937539513524</v>
      </c>
    </row>
    <row r="73" spans="1:7" x14ac:dyDescent="0.2">
      <c r="A73" s="2" t="s">
        <v>180</v>
      </c>
      <c r="B73" s="2" t="s">
        <v>183</v>
      </c>
      <c r="C73" s="2" t="s">
        <v>184</v>
      </c>
      <c r="D73" s="3">
        <v>29.99</v>
      </c>
      <c r="E73" s="3">
        <v>11.395599601197501</v>
      </c>
      <c r="F73" s="2">
        <v>262</v>
      </c>
      <c r="G73" s="1">
        <f>E73*F73</f>
        <v>2985.6470955137452</v>
      </c>
    </row>
    <row r="74" spans="1:7" x14ac:dyDescent="0.2">
      <c r="A74" s="2" t="s">
        <v>180</v>
      </c>
      <c r="B74" s="2" t="s">
        <v>191</v>
      </c>
      <c r="C74" s="2" t="s">
        <v>192</v>
      </c>
      <c r="D74" s="3">
        <v>26.99</v>
      </c>
      <c r="E74" s="3">
        <v>10.255659661097718</v>
      </c>
      <c r="F74" s="2">
        <v>143</v>
      </c>
      <c r="G74" s="1">
        <f>E74*F74</f>
        <v>1466.5593315369738</v>
      </c>
    </row>
    <row r="75" spans="1:7" x14ac:dyDescent="0.2">
      <c r="A75" s="2" t="s">
        <v>180</v>
      </c>
      <c r="B75" s="2" t="s">
        <v>181</v>
      </c>
      <c r="C75" s="2" t="s">
        <v>182</v>
      </c>
      <c r="D75" s="3">
        <v>210</v>
      </c>
      <c r="E75" s="3">
        <v>79.795795806984842</v>
      </c>
      <c r="F75" s="2">
        <v>44</v>
      </c>
      <c r="G75" s="1">
        <f>E75*F75</f>
        <v>3511.0150155073329</v>
      </c>
    </row>
    <row r="76" spans="1:7" x14ac:dyDescent="0.2">
      <c r="A76" s="2" t="s">
        <v>203</v>
      </c>
      <c r="B76" s="2" t="s">
        <v>214</v>
      </c>
      <c r="C76" s="2" t="s">
        <v>215</v>
      </c>
      <c r="D76" s="3">
        <v>134</v>
      </c>
      <c r="E76" s="3">
        <v>50.917317324456995</v>
      </c>
      <c r="F76" s="2">
        <v>102</v>
      </c>
      <c r="G76" s="1">
        <f>E76*F76</f>
        <v>5193.5663670946133</v>
      </c>
    </row>
    <row r="77" spans="1:7" x14ac:dyDescent="0.2">
      <c r="A77" s="2" t="s">
        <v>203</v>
      </c>
      <c r="B77" s="2" t="s">
        <v>218</v>
      </c>
      <c r="C77" s="2" t="s">
        <v>219</v>
      </c>
      <c r="D77" s="3">
        <v>230</v>
      </c>
      <c r="E77" s="3">
        <v>87.395395407650071</v>
      </c>
      <c r="F77" s="2">
        <v>195</v>
      </c>
      <c r="G77" s="1">
        <f>E77*F77</f>
        <v>17042.102104491765</v>
      </c>
    </row>
    <row r="78" spans="1:7" x14ac:dyDescent="0.2">
      <c r="A78" s="2" t="s">
        <v>203</v>
      </c>
      <c r="B78" s="2" t="s">
        <v>220</v>
      </c>
      <c r="C78" s="2" t="s">
        <v>221</v>
      </c>
      <c r="D78" s="3">
        <v>495</v>
      </c>
      <c r="E78" s="3">
        <v>188.09009011646427</v>
      </c>
      <c r="F78" s="2">
        <v>23</v>
      </c>
      <c r="G78" s="1">
        <f>E78*F78</f>
        <v>4326.0720726786785</v>
      </c>
    </row>
    <row r="79" spans="1:7" x14ac:dyDescent="0.2">
      <c r="A79" s="2" t="s">
        <v>203</v>
      </c>
      <c r="B79" s="2" t="s">
        <v>222</v>
      </c>
      <c r="C79" s="2" t="s">
        <v>223</v>
      </c>
      <c r="D79" s="3">
        <v>199</v>
      </c>
      <c r="E79" s="3">
        <v>75.616016026618979</v>
      </c>
      <c r="F79" s="2">
        <v>151</v>
      </c>
      <c r="G79" s="1">
        <f>E79*F79</f>
        <v>11418.018420019465</v>
      </c>
    </row>
    <row r="80" spans="1:7" x14ac:dyDescent="0.2">
      <c r="A80" s="2" t="s">
        <v>203</v>
      </c>
      <c r="B80" s="2" t="s">
        <v>216</v>
      </c>
      <c r="C80" s="2" t="s">
        <v>217</v>
      </c>
      <c r="D80" s="3">
        <v>299</v>
      </c>
      <c r="E80" s="3">
        <v>113.6140140299451</v>
      </c>
      <c r="F80" s="2">
        <v>409</v>
      </c>
      <c r="G80" s="1">
        <f>E80*F80</f>
        <v>46468.131738247546</v>
      </c>
    </row>
    <row r="81" spans="1:7" x14ac:dyDescent="0.2">
      <c r="A81" s="2" t="s">
        <v>203</v>
      </c>
      <c r="B81" s="2" t="s">
        <v>212</v>
      </c>
      <c r="C81" s="2" t="s">
        <v>213</v>
      </c>
      <c r="D81" s="3">
        <v>199</v>
      </c>
      <c r="E81" s="3">
        <v>75.616016026618979</v>
      </c>
      <c r="F81" s="2">
        <v>1809</v>
      </c>
      <c r="G81" s="1">
        <f>E81*F81</f>
        <v>136789.37299215375</v>
      </c>
    </row>
    <row r="82" spans="1:7" x14ac:dyDescent="0.2">
      <c r="A82" s="2" t="s">
        <v>203</v>
      </c>
      <c r="B82" s="2" t="s">
        <v>210</v>
      </c>
      <c r="C82" s="2" t="s">
        <v>211</v>
      </c>
      <c r="D82" s="3">
        <v>55</v>
      </c>
      <c r="E82" s="3">
        <v>20.898898901829366</v>
      </c>
      <c r="F82" s="2">
        <v>375</v>
      </c>
      <c r="G82" s="1">
        <f>E82*F82</f>
        <v>7837.0870881860119</v>
      </c>
    </row>
    <row r="83" spans="1:7" x14ac:dyDescent="0.2">
      <c r="A83" s="2" t="s">
        <v>203</v>
      </c>
      <c r="B83" s="2" t="s">
        <v>208</v>
      </c>
      <c r="C83" s="2" t="s">
        <v>209</v>
      </c>
      <c r="D83" s="3">
        <v>55</v>
      </c>
      <c r="E83" s="3">
        <v>20.898898901829366</v>
      </c>
      <c r="F83" s="2">
        <v>409</v>
      </c>
      <c r="G83" s="1">
        <f>E83*F83</f>
        <v>8547.6496508482105</v>
      </c>
    </row>
    <row r="84" spans="1:7" x14ac:dyDescent="0.2">
      <c r="A84" s="2" t="s">
        <v>10</v>
      </c>
      <c r="B84" s="2" t="s">
        <v>143</v>
      </c>
      <c r="C84" s="7" t="s">
        <v>82</v>
      </c>
      <c r="D84" s="3">
        <v>699</v>
      </c>
      <c r="E84" s="3">
        <v>265.62</v>
      </c>
      <c r="F84" s="2">
        <v>182</v>
      </c>
      <c r="G84" s="1">
        <f>E84*F84</f>
        <v>48342.840000000004</v>
      </c>
    </row>
    <row r="85" spans="1:7" x14ac:dyDescent="0.2">
      <c r="A85" s="2" t="s">
        <v>6</v>
      </c>
      <c r="B85" s="2" t="s">
        <v>154</v>
      </c>
      <c r="C85" s="7" t="s">
        <v>52</v>
      </c>
      <c r="D85" s="3">
        <v>34.99</v>
      </c>
      <c r="E85" s="3">
        <v>13.296200000000001</v>
      </c>
      <c r="F85" s="2">
        <v>901</v>
      </c>
      <c r="G85" s="1">
        <f>E85*F85</f>
        <v>11979.876200000001</v>
      </c>
    </row>
    <row r="86" spans="1:7" x14ac:dyDescent="0.2">
      <c r="A86" s="2" t="s">
        <v>10</v>
      </c>
      <c r="B86" s="2" t="s">
        <v>144</v>
      </c>
      <c r="C86" s="7" t="s">
        <v>81</v>
      </c>
      <c r="D86" s="3">
        <v>684</v>
      </c>
      <c r="E86" s="3">
        <v>259.92</v>
      </c>
      <c r="F86" s="2">
        <v>363</v>
      </c>
      <c r="G86" s="1">
        <f>E86*F86</f>
        <v>94350.96</v>
      </c>
    </row>
    <row r="87" spans="1:7" x14ac:dyDescent="0.2">
      <c r="A87" s="2" t="s">
        <v>13</v>
      </c>
      <c r="B87" s="2" t="s">
        <v>129</v>
      </c>
      <c r="C87" s="7" t="s">
        <v>40</v>
      </c>
      <c r="D87" s="3">
        <v>16.989999999999998</v>
      </c>
      <c r="E87" s="3">
        <v>6.4561999999999991</v>
      </c>
      <c r="F87" s="2">
        <v>217</v>
      </c>
      <c r="G87" s="1">
        <f>E87*F87</f>
        <v>1400.9953999999998</v>
      </c>
    </row>
    <row r="88" spans="1:7" x14ac:dyDescent="0.2">
      <c r="A88" s="2" t="s">
        <v>10</v>
      </c>
      <c r="B88" s="2" t="s">
        <v>145</v>
      </c>
      <c r="C88" s="7" t="s">
        <v>83</v>
      </c>
      <c r="D88" s="3">
        <v>883</v>
      </c>
      <c r="E88" s="3">
        <v>335.54</v>
      </c>
      <c r="F88" s="2">
        <v>335</v>
      </c>
      <c r="G88" s="1">
        <f>E88*F88</f>
        <v>112405.90000000001</v>
      </c>
    </row>
    <row r="89" spans="1:7" x14ac:dyDescent="0.2">
      <c r="A89" s="2" t="s">
        <v>10</v>
      </c>
      <c r="B89" s="2" t="s">
        <v>146</v>
      </c>
      <c r="C89" s="7" t="s">
        <v>80</v>
      </c>
      <c r="D89" s="3">
        <v>599</v>
      </c>
      <c r="E89" s="3">
        <v>227.62</v>
      </c>
      <c r="F89" s="2">
        <v>286</v>
      </c>
      <c r="G89" s="1">
        <f>E89*F89</f>
        <v>65099.32</v>
      </c>
    </row>
    <row r="90" spans="1:7" x14ac:dyDescent="0.2">
      <c r="A90" s="2" t="s">
        <v>13</v>
      </c>
      <c r="B90" s="2" t="s">
        <v>130</v>
      </c>
      <c r="C90" s="7" t="s">
        <v>30</v>
      </c>
      <c r="D90" s="3">
        <v>19.5</v>
      </c>
      <c r="E90" s="3">
        <v>7.41</v>
      </c>
      <c r="F90" s="2">
        <v>257</v>
      </c>
      <c r="G90" s="1">
        <f>E90*F90</f>
        <v>1904.3700000000001</v>
      </c>
    </row>
    <row r="91" spans="1:7" x14ac:dyDescent="0.2">
      <c r="A91" s="2" t="s">
        <v>13</v>
      </c>
      <c r="B91" s="2" t="s">
        <v>131</v>
      </c>
      <c r="C91" s="7" t="s">
        <v>37</v>
      </c>
      <c r="D91" s="3">
        <v>14.99</v>
      </c>
      <c r="E91" s="3">
        <v>5.6962000000000002</v>
      </c>
      <c r="F91" s="2">
        <v>236</v>
      </c>
      <c r="G91" s="1">
        <f>E91*F91</f>
        <v>1344.3032000000001</v>
      </c>
    </row>
    <row r="92" spans="1:7" x14ac:dyDescent="0.2">
      <c r="A92" s="2" t="s">
        <v>9</v>
      </c>
      <c r="B92" s="2" t="s">
        <v>99</v>
      </c>
      <c r="C92" s="7" t="s">
        <v>18</v>
      </c>
      <c r="D92" s="3">
        <v>11.99</v>
      </c>
      <c r="E92" s="3">
        <v>4.5562000000000005</v>
      </c>
      <c r="F92" s="2">
        <v>1126</v>
      </c>
      <c r="G92" s="1">
        <f>E92*F92</f>
        <v>5130.2812000000004</v>
      </c>
    </row>
    <row r="93" spans="1:7" x14ac:dyDescent="0.2">
      <c r="A93" s="2" t="s">
        <v>13</v>
      </c>
      <c r="B93" s="2" t="s">
        <v>132</v>
      </c>
      <c r="C93" s="7" t="s">
        <v>32</v>
      </c>
      <c r="D93" s="3">
        <v>16.75</v>
      </c>
      <c r="E93" s="3">
        <v>6.3650000000000002</v>
      </c>
      <c r="F93" s="2">
        <v>470</v>
      </c>
      <c r="G93" s="1">
        <f>E93*F93</f>
        <v>2991.55</v>
      </c>
    </row>
    <row r="94" spans="1:7" x14ac:dyDescent="0.2">
      <c r="A94" s="2" t="s">
        <v>6</v>
      </c>
      <c r="B94" s="2" t="s">
        <v>155</v>
      </c>
      <c r="C94" s="7" t="s">
        <v>53</v>
      </c>
      <c r="D94" s="3">
        <v>42.99</v>
      </c>
      <c r="E94" s="3">
        <v>16.336200000000002</v>
      </c>
      <c r="F94" s="2">
        <v>202</v>
      </c>
      <c r="G94" s="1">
        <f>E94*F94</f>
        <v>3299.9124000000002</v>
      </c>
    </row>
    <row r="95" spans="1:7" x14ac:dyDescent="0.2">
      <c r="A95" s="2" t="s">
        <v>13</v>
      </c>
      <c r="B95" s="2" t="s">
        <v>133</v>
      </c>
      <c r="C95" s="7" t="s">
        <v>26</v>
      </c>
      <c r="D95" s="3">
        <v>17.5</v>
      </c>
      <c r="E95" s="3">
        <v>6.65</v>
      </c>
      <c r="F95" s="2">
        <v>462</v>
      </c>
      <c r="G95" s="1">
        <f>E95*F95</f>
        <v>3072.3</v>
      </c>
    </row>
    <row r="96" spans="1:7" x14ac:dyDescent="0.2">
      <c r="A96" s="2" t="s">
        <v>13</v>
      </c>
      <c r="B96" s="2" t="s">
        <v>134</v>
      </c>
      <c r="C96" s="7" t="s">
        <v>27</v>
      </c>
      <c r="D96" s="3">
        <v>19.5</v>
      </c>
      <c r="E96" s="3">
        <v>7.41</v>
      </c>
      <c r="F96" s="2">
        <v>158</v>
      </c>
      <c r="G96" s="1">
        <f>E96*F96</f>
        <v>1170.78</v>
      </c>
    </row>
    <row r="97" spans="1:7" x14ac:dyDescent="0.2">
      <c r="A97" s="2" t="s">
        <v>6</v>
      </c>
      <c r="B97" s="2" t="s">
        <v>156</v>
      </c>
      <c r="C97" s="7" t="s">
        <v>54</v>
      </c>
      <c r="D97" s="3">
        <v>44.95</v>
      </c>
      <c r="E97" s="3">
        <v>17.081</v>
      </c>
      <c r="F97" s="2">
        <v>190</v>
      </c>
      <c r="G97" s="1">
        <f>E97*F97</f>
        <v>3245.39</v>
      </c>
    </row>
    <row r="98" spans="1:7" x14ac:dyDescent="0.2">
      <c r="A98" s="2" t="s">
        <v>6</v>
      </c>
      <c r="B98" s="2" t="s">
        <v>157</v>
      </c>
      <c r="C98" s="7" t="s">
        <v>56</v>
      </c>
      <c r="D98" s="3">
        <v>27.5</v>
      </c>
      <c r="E98" s="3">
        <v>10.45</v>
      </c>
      <c r="F98" s="2">
        <v>338</v>
      </c>
      <c r="G98" s="1">
        <f>E98*F98</f>
        <v>3532.1</v>
      </c>
    </row>
    <row r="99" spans="1:7" x14ac:dyDescent="0.2">
      <c r="A99" s="2" t="s">
        <v>6</v>
      </c>
      <c r="B99" s="2" t="s">
        <v>158</v>
      </c>
      <c r="C99" s="7" t="s">
        <v>58</v>
      </c>
      <c r="D99" s="3">
        <v>28.99</v>
      </c>
      <c r="E99" s="3">
        <v>11.0162</v>
      </c>
      <c r="F99" s="2">
        <v>467</v>
      </c>
      <c r="G99" s="1">
        <f>E99*F99</f>
        <v>5144.5653999999995</v>
      </c>
    </row>
    <row r="100" spans="1:7" x14ac:dyDescent="0.2">
      <c r="A100" s="2" t="s">
        <v>9</v>
      </c>
      <c r="B100" s="2" t="s">
        <v>99</v>
      </c>
      <c r="C100" s="7" t="s">
        <v>23</v>
      </c>
      <c r="D100" s="3">
        <v>12</v>
      </c>
      <c r="E100" s="3">
        <v>4.5600000000000005</v>
      </c>
      <c r="F100" s="2">
        <v>8</v>
      </c>
      <c r="G100" s="1">
        <f>E100*F100</f>
        <v>36.480000000000004</v>
      </c>
    </row>
    <row r="101" spans="1:7" x14ac:dyDescent="0.2">
      <c r="A101" s="2" t="s">
        <v>6</v>
      </c>
      <c r="B101" s="2" t="s">
        <v>159</v>
      </c>
      <c r="C101" s="7" t="s">
        <v>45</v>
      </c>
      <c r="D101" s="3">
        <v>29.99</v>
      </c>
      <c r="E101" s="3">
        <v>11.3962</v>
      </c>
      <c r="F101" s="2">
        <v>350</v>
      </c>
      <c r="G101" s="1">
        <f>E101*F101</f>
        <v>3988.67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2683F-001C-DC4D-A150-07F663F51B05}">
  <sheetPr>
    <tabColor theme="9" tint="0.39997558519241921"/>
  </sheetPr>
  <dimension ref="A1:B12"/>
  <sheetViews>
    <sheetView workbookViewId="0">
      <selection activeCell="B11" sqref="B11"/>
    </sheetView>
  </sheetViews>
  <sheetFormatPr baseColWidth="10" defaultRowHeight="16" x14ac:dyDescent="0.2"/>
  <cols>
    <col min="1" max="1" width="14.33203125" customWidth="1"/>
    <col min="2" max="2" width="16.33203125" customWidth="1"/>
  </cols>
  <sheetData>
    <row r="1" spans="1:2" x14ac:dyDescent="0.2">
      <c r="A1" t="s">
        <v>0</v>
      </c>
      <c r="B1" t="s">
        <v>5</v>
      </c>
    </row>
    <row r="2" spans="1:2" x14ac:dyDescent="0.2">
      <c r="A2" s="4" t="s">
        <v>9</v>
      </c>
      <c r="B2" s="1">
        <v>22541.53</v>
      </c>
    </row>
    <row r="3" spans="1:2" x14ac:dyDescent="0.2">
      <c r="A3" s="4" t="s">
        <v>8</v>
      </c>
      <c r="B3" s="1">
        <v>230683.94</v>
      </c>
    </row>
    <row r="4" spans="1:2" x14ac:dyDescent="0.2">
      <c r="A4" s="4" t="s">
        <v>7</v>
      </c>
      <c r="B4" s="1">
        <v>81061.320000000007</v>
      </c>
    </row>
    <row r="5" spans="1:2" x14ac:dyDescent="0.2">
      <c r="A5" s="4" t="s">
        <v>13</v>
      </c>
      <c r="B5" s="1">
        <v>44795.519999999997</v>
      </c>
    </row>
    <row r="6" spans="1:2" x14ac:dyDescent="0.2">
      <c r="A6" s="4" t="s">
        <v>161</v>
      </c>
      <c r="B6" s="1">
        <v>115358.71</v>
      </c>
    </row>
    <row r="7" spans="1:2" x14ac:dyDescent="0.2">
      <c r="A7" s="4" t="s">
        <v>10</v>
      </c>
      <c r="B7" s="1">
        <v>481361.96</v>
      </c>
    </row>
    <row r="8" spans="1:2" x14ac:dyDescent="0.2">
      <c r="A8" s="4" t="s">
        <v>12</v>
      </c>
      <c r="B8" s="1">
        <v>127714.24000000001</v>
      </c>
    </row>
    <row r="9" spans="1:2" x14ac:dyDescent="0.2">
      <c r="A9" s="4" t="s">
        <v>224</v>
      </c>
      <c r="B9" s="1">
        <v>84175.98</v>
      </c>
    </row>
    <row r="10" spans="1:2" x14ac:dyDescent="0.2">
      <c r="A10" s="4" t="s">
        <v>203</v>
      </c>
      <c r="B10" s="1">
        <v>265789.92</v>
      </c>
    </row>
    <row r="11" spans="1:2" ht="17" thickBot="1" x14ac:dyDescent="0.25">
      <c r="A11" s="10" t="s">
        <v>6</v>
      </c>
      <c r="B11" s="11">
        <v>68744</v>
      </c>
    </row>
    <row r="12" spans="1:2" ht="17" thickTop="1" x14ac:dyDescent="0.2">
      <c r="A12" s="4" t="s">
        <v>78</v>
      </c>
      <c r="B12" s="1">
        <f>SUM(B2:B9)</f>
        <v>1187693.2000000002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Sales Revenue</vt:lpstr>
      <vt:lpstr>Revenue Chart</vt:lpstr>
      <vt:lpstr>Inventory</vt:lpstr>
      <vt:lpstr>Inventory Chart</vt:lpstr>
    </vt:vector>
  </TitlesOfParts>
  <Manager/>
  <Company>LinkedIn Learning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Misty Teach-McCloud</dc:creator>
  <cp:keywords/>
  <dc:description/>
  <cp:lastModifiedBy>Misty Teach-McCloud</cp:lastModifiedBy>
  <dcterms:created xsi:type="dcterms:W3CDTF">2012-12-06T16:24:04Z</dcterms:created>
  <dcterms:modified xsi:type="dcterms:W3CDTF">2023-03-04T00:05:23Z</dcterms:modified>
  <cp:category/>
</cp:coreProperties>
</file>