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teachmc/Desktop/Michael McDonald assets 2822086:2825077: /"/>
    </mc:Choice>
  </mc:AlternateContent>
  <xr:revisionPtr revIDLastSave="0" documentId="13_ncr:1_{2B34B476-AF22-074A-A82B-CA17C206221B}" xr6:coauthVersionLast="45" xr6:coauthVersionMax="45" xr10:uidLastSave="{00000000-0000-0000-0000-000000000000}"/>
  <bookViews>
    <workbookView xWindow="2080" yWindow="460" windowWidth="30320" windowHeight="19300" xr2:uid="{677ADA71-386D-E841-B347-AA711C4EE6AA}"/>
  </bookViews>
  <sheets>
    <sheet name="2017" sheetId="1" r:id="rId1"/>
    <sheet name="2018" sheetId="2" r:id="rId2"/>
    <sheet name="About this docum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38" i="1" l="1"/>
  <c r="L38" i="1"/>
  <c r="K38" i="1"/>
  <c r="J38" i="1"/>
  <c r="I38" i="1"/>
  <c r="H38" i="1"/>
  <c r="G38" i="1"/>
  <c r="F38" i="1"/>
  <c r="E38" i="1"/>
  <c r="D38" i="1"/>
  <c r="C38" i="1"/>
  <c r="B38" i="1"/>
  <c r="N38" i="1" s="1"/>
  <c r="N37" i="1"/>
  <c r="N36" i="1"/>
  <c r="N35" i="1"/>
  <c r="N34" i="1"/>
  <c r="M32" i="1"/>
  <c r="L32" i="1"/>
  <c r="K32" i="1"/>
  <c r="J32" i="1"/>
  <c r="I32" i="1"/>
  <c r="H32" i="1"/>
  <c r="G32" i="1"/>
  <c r="F32" i="1"/>
  <c r="E32" i="1"/>
  <c r="D32" i="1"/>
  <c r="C32" i="1"/>
  <c r="B32" i="1"/>
  <c r="N31" i="1"/>
  <c r="N30" i="1"/>
  <c r="N29" i="1"/>
  <c r="N28" i="1"/>
  <c r="M26" i="1"/>
  <c r="L26" i="1"/>
  <c r="K26" i="1"/>
  <c r="J26" i="1"/>
  <c r="I26" i="1"/>
  <c r="H26" i="1"/>
  <c r="G26" i="1"/>
  <c r="F26" i="1"/>
  <c r="E26" i="1"/>
  <c r="D26" i="1"/>
  <c r="C26" i="1"/>
  <c r="B26" i="1"/>
  <c r="N25" i="1"/>
  <c r="N24" i="1"/>
  <c r="N23" i="1"/>
  <c r="N22" i="1"/>
  <c r="N21" i="1"/>
  <c r="N20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N16" i="1"/>
  <c r="N15" i="1"/>
  <c r="N14" i="1"/>
  <c r="N13" i="1"/>
  <c r="C40" i="2"/>
  <c r="C38" i="2"/>
  <c r="D38" i="2"/>
  <c r="E38" i="2"/>
  <c r="F38" i="2"/>
  <c r="G38" i="2"/>
  <c r="H38" i="2"/>
  <c r="I38" i="2"/>
  <c r="J38" i="2"/>
  <c r="K38" i="2"/>
  <c r="L38" i="2"/>
  <c r="M38" i="2"/>
  <c r="B38" i="2"/>
  <c r="N38" i="2" s="1"/>
  <c r="C32" i="2"/>
  <c r="D32" i="2"/>
  <c r="E32" i="2"/>
  <c r="F32" i="2"/>
  <c r="G32" i="2"/>
  <c r="H32" i="2"/>
  <c r="I32" i="2"/>
  <c r="J32" i="2"/>
  <c r="K32" i="2"/>
  <c r="L32" i="2"/>
  <c r="M32" i="2"/>
  <c r="B32" i="2"/>
  <c r="C26" i="2"/>
  <c r="D26" i="2"/>
  <c r="E26" i="2"/>
  <c r="F26" i="2"/>
  <c r="G26" i="2"/>
  <c r="H26" i="2"/>
  <c r="I26" i="2"/>
  <c r="J26" i="2"/>
  <c r="K26" i="2"/>
  <c r="L26" i="2"/>
  <c r="M26" i="2"/>
  <c r="B26" i="2"/>
  <c r="C18" i="2"/>
  <c r="D18" i="2"/>
  <c r="E18" i="2"/>
  <c r="F18" i="2"/>
  <c r="G18" i="2"/>
  <c r="H18" i="2"/>
  <c r="I18" i="2"/>
  <c r="I40" i="2" s="1"/>
  <c r="J18" i="2"/>
  <c r="K18" i="2"/>
  <c r="L18" i="2"/>
  <c r="M18" i="2"/>
  <c r="B18" i="2"/>
  <c r="N36" i="2"/>
  <c r="N35" i="2"/>
  <c r="N34" i="2"/>
  <c r="N24" i="2"/>
  <c r="N23" i="2"/>
  <c r="N22" i="2"/>
  <c r="N21" i="2"/>
  <c r="N20" i="2"/>
  <c r="N37" i="2"/>
  <c r="N25" i="2"/>
  <c r="N14" i="2"/>
  <c r="N15" i="2"/>
  <c r="N16" i="2"/>
  <c r="N17" i="2"/>
  <c r="N13" i="2"/>
  <c r="N28" i="2"/>
  <c r="N30" i="2"/>
  <c r="N31" i="2"/>
  <c r="N29" i="2"/>
  <c r="M40" i="2" l="1"/>
  <c r="L40" i="2"/>
  <c r="K40" i="2"/>
  <c r="J40" i="2"/>
  <c r="H40" i="2"/>
  <c r="G40" i="2"/>
  <c r="F40" i="2"/>
  <c r="E40" i="2"/>
  <c r="D40" i="2"/>
  <c r="N18" i="2"/>
  <c r="M40" i="1"/>
  <c r="L40" i="1"/>
  <c r="J40" i="1"/>
  <c r="H40" i="1"/>
  <c r="G40" i="1"/>
  <c r="D40" i="1"/>
  <c r="I40" i="1"/>
  <c r="N26" i="1"/>
  <c r="B40" i="1"/>
  <c r="K40" i="1"/>
  <c r="F40" i="1"/>
  <c r="N32" i="1"/>
  <c r="C40" i="1"/>
  <c r="N32" i="2"/>
  <c r="B40" i="2"/>
  <c r="E40" i="1"/>
  <c r="N18" i="1"/>
  <c r="N26" i="2"/>
  <c r="N40" i="2" l="1"/>
  <c r="N40" i="1"/>
  <c r="M10" i="2" l="1"/>
  <c r="M42" i="2" s="1"/>
  <c r="L10" i="2"/>
  <c r="L42" i="2" s="1"/>
  <c r="K10" i="2"/>
  <c r="K42" i="2" s="1"/>
  <c r="J10" i="2"/>
  <c r="J42" i="2" s="1"/>
  <c r="I10" i="2"/>
  <c r="I42" i="2" s="1"/>
  <c r="H10" i="2"/>
  <c r="H42" i="2" s="1"/>
  <c r="G10" i="2"/>
  <c r="G42" i="2" s="1"/>
  <c r="F10" i="2"/>
  <c r="F42" i="2" s="1"/>
  <c r="E10" i="2"/>
  <c r="E42" i="2" s="1"/>
  <c r="D10" i="2"/>
  <c r="D42" i="2" s="1"/>
  <c r="C10" i="2"/>
  <c r="C42" i="2" s="1"/>
  <c r="B10" i="2"/>
  <c r="B42" i="2" s="1"/>
  <c r="N9" i="2"/>
  <c r="N8" i="2"/>
  <c r="M10" i="1"/>
  <c r="M42" i="1" s="1"/>
  <c r="L10" i="1"/>
  <c r="L42" i="1" s="1"/>
  <c r="K10" i="1"/>
  <c r="K42" i="1" s="1"/>
  <c r="J10" i="1"/>
  <c r="J42" i="1" s="1"/>
  <c r="I10" i="1"/>
  <c r="I42" i="1" s="1"/>
  <c r="H10" i="1"/>
  <c r="H42" i="1" s="1"/>
  <c r="G10" i="1"/>
  <c r="G42" i="1" s="1"/>
  <c r="F10" i="1"/>
  <c r="F42" i="1" s="1"/>
  <c r="E10" i="1"/>
  <c r="E42" i="1" s="1"/>
  <c r="D10" i="1"/>
  <c r="D42" i="1" s="1"/>
  <c r="C10" i="1"/>
  <c r="C42" i="1" s="1"/>
  <c r="B10" i="1"/>
  <c r="B42" i="1" s="1"/>
  <c r="N9" i="1"/>
  <c r="N8" i="1"/>
  <c r="N10" i="1" s="1"/>
  <c r="N42" i="1" l="1"/>
  <c r="N42" i="2"/>
  <c r="N10" i="2"/>
</calcChain>
</file>

<file path=xl/sharedStrings.xml><?xml version="1.0" encoding="utf-8"?>
<sst xmlns="http://schemas.openxmlformats.org/spreadsheetml/2006/main" count="84" uniqueCount="48">
  <si>
    <t>Marketing</t>
  </si>
  <si>
    <t>Salaries and Wages</t>
  </si>
  <si>
    <t>Benefits</t>
  </si>
  <si>
    <t>Total Marketing Labor</t>
  </si>
  <si>
    <t>Totals</t>
  </si>
  <si>
    <t>(US dollar, in thousands)</t>
  </si>
  <si>
    <t>Red30 Tech 2017 Marketing Expenses</t>
  </si>
  <si>
    <t>Red30 Tech 2018 Marketing Expenses</t>
  </si>
  <si>
    <t>Sponsored Content</t>
  </si>
  <si>
    <t>Social Media</t>
  </si>
  <si>
    <t>Print Ads</t>
  </si>
  <si>
    <t>Press Releases</t>
  </si>
  <si>
    <t>Market Research</t>
  </si>
  <si>
    <t>Online Ads (Search Engine, Banner)</t>
  </si>
  <si>
    <t>Television/Radio Ads (broadcast)</t>
  </si>
  <si>
    <t>Promotions</t>
  </si>
  <si>
    <t>Other</t>
  </si>
  <si>
    <t>Facebook</t>
  </si>
  <si>
    <t>Twitter</t>
  </si>
  <si>
    <t>LinkedIn</t>
  </si>
  <si>
    <t>Labor</t>
  </si>
  <si>
    <t>Total Labor</t>
  </si>
  <si>
    <t>Instagram</t>
  </si>
  <si>
    <t>Pinterest</t>
  </si>
  <si>
    <t>Total Social Media</t>
  </si>
  <si>
    <t>Advertising</t>
  </si>
  <si>
    <t>Total Advertising</t>
  </si>
  <si>
    <t>Public Relations</t>
  </si>
  <si>
    <t>MARKETING ACTIVITIES</t>
  </si>
  <si>
    <t>MARKETING LABOR</t>
  </si>
  <si>
    <t>Conferences</t>
  </si>
  <si>
    <t>Events</t>
  </si>
  <si>
    <t>Secondary Research</t>
  </si>
  <si>
    <t>Surveys</t>
  </si>
  <si>
    <t>Field Trials</t>
  </si>
  <si>
    <t>Focus Groups &amp; Interviews</t>
  </si>
  <si>
    <t>Total Market Research</t>
  </si>
  <si>
    <t>Total Marketing Activities</t>
  </si>
  <si>
    <t>Marketing Totals</t>
  </si>
  <si>
    <t>Total Public Relations</t>
  </si>
  <si>
    <t>Balance check</t>
  </si>
  <si>
    <t>LABOR</t>
  </si>
  <si>
    <t>Note: this worksheet is part of a series of worksheets with correlating financial data for Red30 Tech. The other worksheets available in the series are:</t>
  </si>
  <si>
    <t>Red30 Tech Labor Expenses.xlsx</t>
  </si>
  <si>
    <t>Red30 Tech Budget.xlsx</t>
  </si>
  <si>
    <t>Red30 Tech Balance Sheet.xlsx</t>
  </si>
  <si>
    <t>Red30 Tech Financial Statement.xlsx</t>
  </si>
  <si>
    <t>Red30 Tech Overhead Costs.xlsx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</si>
</sst>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(&quot;$&quot;* #,##0_);_(&quot;$&quot;* \(#,##0\);_(&quot;$&quot;* &quot;-&quot;_);_(@_)"/>
  </numFmts>
  <fonts count="14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theme="4" tint="-0.499984740745262"/>
      <name val="Calibri"/>
      <family val="2"/>
      <scheme val="minor"/>
    </font>
    <font>
      <sz val="12"/>
      <name val="Calibri Light"/>
      <family val="2"/>
      <scheme val="major"/>
    </font>
    <font>
      <sz val="12"/>
      <color theme="4" tint="-0.499984740745262"/>
      <name val="Calibri Light"/>
      <family val="2"/>
      <scheme val="major"/>
    </font>
    <font>
      <b/>
      <sz val="12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2" borderId="1" xfId="0" applyFont="1" applyFill="1" applyBorder="1" applyAlignment="1">
      <alignment horizontal="left"/>
    </xf>
    <xf numFmtId="0" fontId="4" fillId="2" borderId="0" xfId="0" applyFont="1" applyFill="1"/>
    <xf numFmtId="17" fontId="5" fillId="3" borderId="2" xfId="0" applyNumberFormat="1" applyFont="1" applyFill="1" applyBorder="1"/>
    <xf numFmtId="0" fontId="4" fillId="0" borderId="1" xfId="0" applyFont="1" applyBorder="1" applyAlignment="1">
      <alignment horizontal="left"/>
    </xf>
    <xf numFmtId="42" fontId="6" fillId="0" borderId="0" xfId="0" applyNumberFormat="1" applyFont="1"/>
    <xf numFmtId="42" fontId="7" fillId="4" borderId="2" xfId="0" applyNumberFormat="1" applyFont="1" applyFill="1" applyBorder="1"/>
    <xf numFmtId="0" fontId="4" fillId="0" borderId="3" xfId="0" applyFont="1" applyBorder="1" applyAlignment="1">
      <alignment horizontal="left"/>
    </xf>
    <xf numFmtId="42" fontId="6" fillId="0" borderId="4" xfId="0" applyNumberFormat="1" applyFont="1" applyBorder="1"/>
    <xf numFmtId="42" fontId="7" fillId="4" borderId="5" xfId="0" applyNumberFormat="1" applyFont="1" applyFill="1" applyBorder="1"/>
    <xf numFmtId="0" fontId="8" fillId="0" borderId="6" xfId="0" applyFont="1" applyBorder="1" applyAlignment="1">
      <alignment horizontal="left"/>
    </xf>
    <xf numFmtId="42" fontId="9" fillId="0" borderId="0" xfId="0" applyNumberFormat="1" applyFont="1"/>
    <xf numFmtId="42" fontId="10" fillId="4" borderId="2" xfId="0" applyNumberFormat="1" applyFont="1" applyFill="1" applyBorder="1"/>
    <xf numFmtId="0" fontId="2" fillId="0" borderId="0" xfId="0" applyFont="1"/>
    <xf numFmtId="0" fontId="1" fillId="5" borderId="0" xfId="0" applyFont="1" applyFill="1" applyAlignment="1">
      <alignment horizontal="center"/>
    </xf>
    <xf numFmtId="17" fontId="1" fillId="5" borderId="0" xfId="0" applyNumberFormat="1" applyFont="1" applyFill="1" applyAlignment="1">
      <alignment horizontal="center"/>
    </xf>
    <xf numFmtId="49" fontId="1" fillId="5" borderId="0" xfId="0" applyNumberFormat="1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3" fillId="2" borderId="0" xfId="0" applyFont="1" applyFill="1" applyBorder="1" applyAlignment="1">
      <alignment horizontal="left"/>
    </xf>
    <xf numFmtId="0" fontId="0" fillId="0" borderId="4" xfId="0" applyBorder="1"/>
    <xf numFmtId="0" fontId="12" fillId="0" borderId="0" xfId="0" applyFont="1" applyBorder="1" applyAlignment="1">
      <alignment horizontal="left"/>
    </xf>
    <xf numFmtId="0" fontId="3" fillId="0" borderId="0" xfId="0" applyFont="1" applyBorder="1"/>
    <xf numFmtId="17" fontId="1" fillId="5" borderId="0" xfId="0" applyNumberFormat="1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5" borderId="8" xfId="0" applyFont="1" applyFill="1" applyBorder="1" applyAlignment="1">
      <alignment horizontal="center"/>
    </xf>
    <xf numFmtId="0" fontId="0" fillId="0" borderId="0" xfId="0" applyFont="1" applyBorder="1"/>
    <xf numFmtId="0" fontId="3" fillId="0" borderId="4" xfId="0" applyFont="1" applyBorder="1"/>
    <xf numFmtId="42" fontId="9" fillId="0" borderId="4" xfId="0" applyNumberFormat="1" applyFont="1" applyBorder="1"/>
    <xf numFmtId="42" fontId="10" fillId="4" borderId="5" xfId="0" applyNumberFormat="1" applyFont="1" applyFill="1" applyBorder="1"/>
    <xf numFmtId="0" fontId="3" fillId="0" borderId="9" xfId="0" applyFont="1" applyFill="1" applyBorder="1"/>
    <xf numFmtId="0" fontId="3" fillId="0" borderId="4" xfId="0" applyFont="1" applyFill="1" applyBorder="1"/>
    <xf numFmtId="42" fontId="12" fillId="0" borderId="0" xfId="0" applyNumberFormat="1" applyFont="1"/>
    <xf numFmtId="42" fontId="9" fillId="0" borderId="0" xfId="0" applyNumberFormat="1" applyFont="1" applyBorder="1"/>
    <xf numFmtId="0" fontId="3" fillId="0" borderId="0" xfId="0" applyFont="1" applyFill="1" applyBorder="1"/>
    <xf numFmtId="42" fontId="0" fillId="0" borderId="0" xfId="0" applyNumberFormat="1"/>
    <xf numFmtId="42" fontId="0" fillId="0" borderId="4" xfId="0" applyNumberFormat="1" applyBorder="1"/>
    <xf numFmtId="42" fontId="12" fillId="0" borderId="4" xfId="0" applyNumberFormat="1" applyFont="1" applyBorder="1"/>
    <xf numFmtId="42" fontId="0" fillId="0" borderId="0" xfId="0" applyNumberFormat="1" applyFont="1"/>
    <xf numFmtId="42" fontId="9" fillId="0" borderId="9" xfId="0" applyNumberFormat="1" applyFont="1" applyBorder="1"/>
    <xf numFmtId="42" fontId="0" fillId="4" borderId="10" xfId="0" applyNumberFormat="1" applyFill="1" applyBorder="1"/>
    <xf numFmtId="42" fontId="1" fillId="5" borderId="2" xfId="0" applyNumberFormat="1" applyFont="1" applyFill="1" applyBorder="1"/>
    <xf numFmtId="42" fontId="1" fillId="5" borderId="5" xfId="0" applyNumberFormat="1" applyFont="1" applyFill="1" applyBorder="1"/>
    <xf numFmtId="42" fontId="0" fillId="0" borderId="9" xfId="0" applyNumberFormat="1" applyBorder="1"/>
    <xf numFmtId="42" fontId="0" fillId="0" borderId="7" xfId="0" applyNumberFormat="1" applyBorder="1"/>
    <xf numFmtId="0" fontId="13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1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101600</xdr:rowOff>
    </xdr:from>
    <xdr:to>
      <xdr:col>0</xdr:col>
      <xdr:colOff>2085192</xdr:colOff>
      <xdr:row>4</xdr:row>
      <xdr:rowOff>37603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60BC22-204C-B148-A97B-EA7086598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01600"/>
          <a:ext cx="1818492" cy="7488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101600</xdr:rowOff>
    </xdr:from>
    <xdr:to>
      <xdr:col>0</xdr:col>
      <xdr:colOff>2085192</xdr:colOff>
      <xdr:row>4</xdr:row>
      <xdr:rowOff>37603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F94E4C1-0288-B14C-BE3B-228DCB92A4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01600"/>
          <a:ext cx="1818492" cy="7488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DF9A7-21C2-9548-A042-F374AC776EC7}">
  <dimension ref="A2:P48"/>
  <sheetViews>
    <sheetView showGridLines="0" tabSelected="1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6" sqref="A6"/>
    </sheetView>
  </sheetViews>
  <sheetFormatPr baseColWidth="10" defaultRowHeight="16" x14ac:dyDescent="0.2"/>
  <cols>
    <col min="1" max="1" width="33.6640625" customWidth="1"/>
    <col min="2" max="14" width="12.83203125" customWidth="1"/>
  </cols>
  <sheetData>
    <row r="2" spans="1:16" x14ac:dyDescent="0.2">
      <c r="A2" s="13"/>
      <c r="B2" s="47" t="s">
        <v>6</v>
      </c>
      <c r="C2" s="47"/>
      <c r="D2" s="47"/>
      <c r="E2" s="47"/>
    </row>
    <row r="3" spans="1:16" x14ac:dyDescent="0.2">
      <c r="A3" s="13"/>
      <c r="B3" s="47"/>
      <c r="C3" s="47"/>
      <c r="D3" s="47"/>
      <c r="E3" s="47"/>
    </row>
    <row r="4" spans="1:16" x14ac:dyDescent="0.2">
      <c r="A4" s="13"/>
      <c r="B4" s="18" t="s">
        <v>5</v>
      </c>
      <c r="C4" s="17"/>
      <c r="D4" s="18"/>
      <c r="E4" s="18"/>
    </row>
    <row r="6" spans="1:16" x14ac:dyDescent="0.2">
      <c r="A6" s="24" t="s">
        <v>41</v>
      </c>
      <c r="B6" s="15">
        <v>42736</v>
      </c>
      <c r="C6" s="15">
        <v>42767</v>
      </c>
      <c r="D6" s="15">
        <v>42795</v>
      </c>
      <c r="E6" s="15">
        <v>42826</v>
      </c>
      <c r="F6" s="15">
        <v>42856</v>
      </c>
      <c r="G6" s="15">
        <v>42887</v>
      </c>
      <c r="H6" s="15">
        <v>42917</v>
      </c>
      <c r="I6" s="15">
        <v>42948</v>
      </c>
      <c r="J6" s="15">
        <v>42979</v>
      </c>
      <c r="K6" s="15">
        <v>43009</v>
      </c>
      <c r="L6" s="15">
        <v>43040</v>
      </c>
      <c r="M6" s="15">
        <v>43070</v>
      </c>
      <c r="N6" s="16" t="s">
        <v>4</v>
      </c>
    </row>
    <row r="7" spans="1:16" x14ac:dyDescent="0.2">
      <c r="A7" s="1" t="s">
        <v>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"/>
    </row>
    <row r="8" spans="1:16" x14ac:dyDescent="0.2">
      <c r="A8" s="4" t="s">
        <v>1</v>
      </c>
      <c r="B8" s="5">
        <v>2123</v>
      </c>
      <c r="C8" s="5">
        <v>2161</v>
      </c>
      <c r="D8" s="5">
        <v>2263</v>
      </c>
      <c r="E8" s="5">
        <v>2265</v>
      </c>
      <c r="F8" s="5">
        <v>2284</v>
      </c>
      <c r="G8" s="5">
        <v>2267</v>
      </c>
      <c r="H8" s="5">
        <v>2260</v>
      </c>
      <c r="I8" s="5">
        <v>2271</v>
      </c>
      <c r="J8" s="5">
        <v>2295</v>
      </c>
      <c r="K8" s="5">
        <v>2321</v>
      </c>
      <c r="L8" s="5">
        <v>2348</v>
      </c>
      <c r="M8" s="5">
        <v>2393</v>
      </c>
      <c r="N8" s="6">
        <f>SUM(B8:M8)</f>
        <v>27251</v>
      </c>
    </row>
    <row r="9" spans="1:16" x14ac:dyDescent="0.2">
      <c r="A9" s="7" t="s">
        <v>2</v>
      </c>
      <c r="B9" s="8">
        <v>658</v>
      </c>
      <c r="C9" s="8">
        <v>670</v>
      </c>
      <c r="D9" s="8">
        <v>702</v>
      </c>
      <c r="E9" s="8">
        <v>702</v>
      </c>
      <c r="F9" s="8">
        <v>708</v>
      </c>
      <c r="G9" s="8">
        <v>703</v>
      </c>
      <c r="H9" s="8">
        <v>700</v>
      </c>
      <c r="I9" s="8">
        <v>704</v>
      </c>
      <c r="J9" s="8">
        <v>711</v>
      </c>
      <c r="K9" s="8">
        <v>720</v>
      </c>
      <c r="L9" s="8">
        <v>728</v>
      </c>
      <c r="M9" s="8">
        <v>742</v>
      </c>
      <c r="N9" s="9">
        <f>SUM(B9:M9)</f>
        <v>8448</v>
      </c>
      <c r="P9" s="13"/>
    </row>
    <row r="10" spans="1:16" x14ac:dyDescent="0.2">
      <c r="A10" s="10" t="s">
        <v>3</v>
      </c>
      <c r="B10" s="11">
        <f t="shared" ref="B10:N10" si="0">SUM(B8:B9)</f>
        <v>2781</v>
      </c>
      <c r="C10" s="11">
        <f t="shared" si="0"/>
        <v>2831</v>
      </c>
      <c r="D10" s="11">
        <f t="shared" si="0"/>
        <v>2965</v>
      </c>
      <c r="E10" s="11">
        <f t="shared" si="0"/>
        <v>2967</v>
      </c>
      <c r="F10" s="11">
        <f t="shared" si="0"/>
        <v>2992</v>
      </c>
      <c r="G10" s="11">
        <f t="shared" si="0"/>
        <v>2970</v>
      </c>
      <c r="H10" s="11">
        <f t="shared" si="0"/>
        <v>2960</v>
      </c>
      <c r="I10" s="11">
        <f t="shared" si="0"/>
        <v>2975</v>
      </c>
      <c r="J10" s="11">
        <f t="shared" si="0"/>
        <v>3006</v>
      </c>
      <c r="K10" s="11">
        <f t="shared" si="0"/>
        <v>3041</v>
      </c>
      <c r="L10" s="11">
        <f t="shared" si="0"/>
        <v>3076</v>
      </c>
      <c r="M10" s="11">
        <f t="shared" si="0"/>
        <v>3135</v>
      </c>
      <c r="N10" s="12">
        <f t="shared" si="0"/>
        <v>35699</v>
      </c>
    </row>
    <row r="11" spans="1:16" x14ac:dyDescent="0.2">
      <c r="A11" s="23" t="s">
        <v>28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25"/>
    </row>
    <row r="12" spans="1:16" x14ac:dyDescent="0.2">
      <c r="A12" s="1" t="s">
        <v>25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3"/>
    </row>
    <row r="13" spans="1:16" x14ac:dyDescent="0.2">
      <c r="A13" t="s">
        <v>13</v>
      </c>
      <c r="B13" s="35">
        <v>307</v>
      </c>
      <c r="C13" s="35">
        <v>345</v>
      </c>
      <c r="D13" s="35">
        <v>359</v>
      </c>
      <c r="E13" s="35">
        <v>354</v>
      </c>
      <c r="F13" s="35">
        <v>351</v>
      </c>
      <c r="G13" s="35">
        <v>385</v>
      </c>
      <c r="H13" s="35">
        <v>407</v>
      </c>
      <c r="I13" s="35">
        <v>414</v>
      </c>
      <c r="J13" s="35">
        <v>406</v>
      </c>
      <c r="K13" s="38">
        <v>410</v>
      </c>
      <c r="L13" s="35">
        <v>412</v>
      </c>
      <c r="M13" s="35">
        <v>409</v>
      </c>
      <c r="N13" s="12">
        <f>SUM(B13:M13)</f>
        <v>4559</v>
      </c>
    </row>
    <row r="14" spans="1:16" x14ac:dyDescent="0.2">
      <c r="A14" t="s">
        <v>14</v>
      </c>
      <c r="B14" s="35">
        <v>578</v>
      </c>
      <c r="C14" s="35">
        <v>581</v>
      </c>
      <c r="D14" s="35">
        <v>586</v>
      </c>
      <c r="E14" s="35">
        <v>575</v>
      </c>
      <c r="F14" s="35">
        <v>572</v>
      </c>
      <c r="G14" s="35">
        <v>598</v>
      </c>
      <c r="H14" s="35">
        <v>621</v>
      </c>
      <c r="I14" s="35">
        <v>626</v>
      </c>
      <c r="J14" s="35">
        <v>619</v>
      </c>
      <c r="K14" s="38">
        <v>618</v>
      </c>
      <c r="L14" s="35">
        <v>619</v>
      </c>
      <c r="M14" s="35">
        <v>622</v>
      </c>
      <c r="N14" s="12">
        <f t="shared" ref="N14:N25" si="1">SUM(B14:M14)</f>
        <v>7215</v>
      </c>
    </row>
    <row r="15" spans="1:16" x14ac:dyDescent="0.2">
      <c r="A15" t="s">
        <v>10</v>
      </c>
      <c r="B15" s="35">
        <v>305</v>
      </c>
      <c r="C15" s="35">
        <v>306</v>
      </c>
      <c r="D15" s="35">
        <v>319</v>
      </c>
      <c r="E15" s="35">
        <v>320</v>
      </c>
      <c r="F15" s="35">
        <v>318</v>
      </c>
      <c r="G15" s="35">
        <v>326</v>
      </c>
      <c r="H15" s="35">
        <v>339</v>
      </c>
      <c r="I15" s="35">
        <v>342</v>
      </c>
      <c r="J15" s="35">
        <v>345</v>
      </c>
      <c r="K15" s="35">
        <v>347</v>
      </c>
      <c r="L15" s="35">
        <v>353</v>
      </c>
      <c r="M15" s="35">
        <v>356</v>
      </c>
      <c r="N15" s="12">
        <f t="shared" si="1"/>
        <v>3976</v>
      </c>
    </row>
    <row r="16" spans="1:16" x14ac:dyDescent="0.2">
      <c r="A16" t="s">
        <v>8</v>
      </c>
      <c r="B16" s="35">
        <v>285</v>
      </c>
      <c r="C16" s="35">
        <v>298</v>
      </c>
      <c r="D16" s="35">
        <v>308</v>
      </c>
      <c r="E16" s="35">
        <v>305</v>
      </c>
      <c r="F16" s="35">
        <v>310</v>
      </c>
      <c r="G16" s="35">
        <v>311</v>
      </c>
      <c r="H16" s="35">
        <v>315</v>
      </c>
      <c r="I16" s="35">
        <v>320</v>
      </c>
      <c r="J16" s="35">
        <v>314</v>
      </c>
      <c r="K16" s="35">
        <v>313</v>
      </c>
      <c r="L16" s="35">
        <v>319</v>
      </c>
      <c r="M16" s="35">
        <v>331</v>
      </c>
      <c r="N16" s="12">
        <f t="shared" si="1"/>
        <v>3729</v>
      </c>
    </row>
    <row r="17" spans="1:14" x14ac:dyDescent="0.2">
      <c r="A17" t="s">
        <v>16</v>
      </c>
      <c r="B17" s="36">
        <v>153</v>
      </c>
      <c r="C17" s="36">
        <v>156</v>
      </c>
      <c r="D17" s="36">
        <v>175</v>
      </c>
      <c r="E17" s="36">
        <v>172</v>
      </c>
      <c r="F17" s="36">
        <v>169</v>
      </c>
      <c r="G17" s="36">
        <v>181</v>
      </c>
      <c r="H17" s="36">
        <v>199</v>
      </c>
      <c r="I17" s="36">
        <v>204</v>
      </c>
      <c r="J17" s="36">
        <v>202</v>
      </c>
      <c r="K17" s="36">
        <v>204</v>
      </c>
      <c r="L17" s="36">
        <v>210</v>
      </c>
      <c r="M17" s="36">
        <v>215</v>
      </c>
      <c r="N17" s="29">
        <f t="shared" si="1"/>
        <v>2240</v>
      </c>
    </row>
    <row r="18" spans="1:14" x14ac:dyDescent="0.2">
      <c r="A18" s="10" t="s">
        <v>26</v>
      </c>
      <c r="B18" s="11">
        <f>SUM(B13:B17)</f>
        <v>1628</v>
      </c>
      <c r="C18" s="11">
        <f t="shared" ref="C18:M18" si="2">SUM(C13:C17)</f>
        <v>1686</v>
      </c>
      <c r="D18" s="11">
        <f t="shared" si="2"/>
        <v>1747</v>
      </c>
      <c r="E18" s="11">
        <f t="shared" si="2"/>
        <v>1726</v>
      </c>
      <c r="F18" s="11">
        <f t="shared" si="2"/>
        <v>1720</v>
      </c>
      <c r="G18" s="11">
        <f t="shared" si="2"/>
        <v>1801</v>
      </c>
      <c r="H18" s="11">
        <f t="shared" si="2"/>
        <v>1881</v>
      </c>
      <c r="I18" s="11">
        <f t="shared" si="2"/>
        <v>1906</v>
      </c>
      <c r="J18" s="11">
        <f t="shared" si="2"/>
        <v>1886</v>
      </c>
      <c r="K18" s="11">
        <f t="shared" si="2"/>
        <v>1892</v>
      </c>
      <c r="L18" s="11">
        <f t="shared" si="2"/>
        <v>1913</v>
      </c>
      <c r="M18" s="11">
        <f t="shared" si="2"/>
        <v>1933</v>
      </c>
      <c r="N18" s="12">
        <f>SUM(B18:M18)</f>
        <v>21719</v>
      </c>
    </row>
    <row r="19" spans="1:14" x14ac:dyDescent="0.2">
      <c r="A19" s="1" t="s">
        <v>9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3"/>
    </row>
    <row r="20" spans="1:14" x14ac:dyDescent="0.2">
      <c r="A20" t="s">
        <v>17</v>
      </c>
      <c r="B20" s="35">
        <v>213</v>
      </c>
      <c r="C20" s="35">
        <v>210</v>
      </c>
      <c r="D20" s="35">
        <v>217</v>
      </c>
      <c r="E20" s="35">
        <v>219</v>
      </c>
      <c r="F20" s="35">
        <v>223</v>
      </c>
      <c r="G20" s="35">
        <v>232</v>
      </c>
      <c r="H20" s="35">
        <v>236</v>
      </c>
      <c r="I20" s="35">
        <v>239</v>
      </c>
      <c r="J20" s="35">
        <v>237</v>
      </c>
      <c r="K20" s="35">
        <v>237</v>
      </c>
      <c r="L20" s="35">
        <v>241</v>
      </c>
      <c r="M20" s="35">
        <v>248</v>
      </c>
      <c r="N20" s="12">
        <f t="shared" si="1"/>
        <v>2752</v>
      </c>
    </row>
    <row r="21" spans="1:14" x14ac:dyDescent="0.2">
      <c r="A21" t="s">
        <v>22</v>
      </c>
      <c r="B21" s="35">
        <v>205</v>
      </c>
      <c r="C21" s="35">
        <v>211</v>
      </c>
      <c r="D21" s="35">
        <v>229</v>
      </c>
      <c r="E21" s="35">
        <v>230</v>
      </c>
      <c r="F21" s="35">
        <v>232</v>
      </c>
      <c r="G21" s="35">
        <v>243</v>
      </c>
      <c r="H21" s="35">
        <v>249</v>
      </c>
      <c r="I21" s="35">
        <v>253</v>
      </c>
      <c r="J21" s="35">
        <v>249</v>
      </c>
      <c r="K21" s="35">
        <v>248</v>
      </c>
      <c r="L21" s="35">
        <v>251</v>
      </c>
      <c r="M21" s="35">
        <v>267</v>
      </c>
      <c r="N21" s="12">
        <f t="shared" si="1"/>
        <v>2867</v>
      </c>
    </row>
    <row r="22" spans="1:14" x14ac:dyDescent="0.2">
      <c r="A22" t="s">
        <v>18</v>
      </c>
      <c r="B22" s="35">
        <v>158</v>
      </c>
      <c r="C22" s="35">
        <v>174</v>
      </c>
      <c r="D22" s="35">
        <v>178</v>
      </c>
      <c r="E22" s="35">
        <v>176</v>
      </c>
      <c r="F22" s="35">
        <v>178</v>
      </c>
      <c r="G22" s="35">
        <v>179</v>
      </c>
      <c r="H22" s="35">
        <v>183</v>
      </c>
      <c r="I22" s="35">
        <v>187</v>
      </c>
      <c r="J22" s="35">
        <v>184</v>
      </c>
      <c r="K22" s="35">
        <v>185</v>
      </c>
      <c r="L22" s="35">
        <v>197</v>
      </c>
      <c r="M22" s="35">
        <v>210</v>
      </c>
      <c r="N22" s="12">
        <f t="shared" si="1"/>
        <v>2189</v>
      </c>
    </row>
    <row r="23" spans="1:14" x14ac:dyDescent="0.2">
      <c r="A23" t="s">
        <v>19</v>
      </c>
      <c r="B23" s="35">
        <v>175</v>
      </c>
      <c r="C23" s="35">
        <v>191</v>
      </c>
      <c r="D23" s="35">
        <v>189</v>
      </c>
      <c r="E23" s="35">
        <v>184</v>
      </c>
      <c r="F23" s="35">
        <v>185</v>
      </c>
      <c r="G23" s="35">
        <v>188</v>
      </c>
      <c r="H23" s="35">
        <v>187</v>
      </c>
      <c r="I23" s="35">
        <v>185</v>
      </c>
      <c r="J23" s="35">
        <v>188</v>
      </c>
      <c r="K23" s="35">
        <v>186</v>
      </c>
      <c r="L23" s="35">
        <v>188</v>
      </c>
      <c r="M23" s="35">
        <v>193</v>
      </c>
      <c r="N23" s="12">
        <f t="shared" si="1"/>
        <v>2239</v>
      </c>
    </row>
    <row r="24" spans="1:14" x14ac:dyDescent="0.2">
      <c r="A24" t="s">
        <v>23</v>
      </c>
      <c r="B24" s="35">
        <v>136</v>
      </c>
      <c r="C24" s="35">
        <v>132</v>
      </c>
      <c r="D24" s="35">
        <v>138</v>
      </c>
      <c r="E24" s="35">
        <v>139</v>
      </c>
      <c r="F24" s="35">
        <v>141</v>
      </c>
      <c r="G24" s="35">
        <v>146</v>
      </c>
      <c r="H24" s="35">
        <v>151</v>
      </c>
      <c r="I24" s="35">
        <v>153</v>
      </c>
      <c r="J24" s="35">
        <v>152</v>
      </c>
      <c r="K24" s="35">
        <v>155</v>
      </c>
      <c r="L24" s="35">
        <v>154</v>
      </c>
      <c r="M24" s="35">
        <v>152</v>
      </c>
      <c r="N24" s="12">
        <f t="shared" si="1"/>
        <v>1749</v>
      </c>
    </row>
    <row r="25" spans="1:14" x14ac:dyDescent="0.2">
      <c r="A25" s="20" t="s">
        <v>16</v>
      </c>
      <c r="B25" s="36">
        <v>130</v>
      </c>
      <c r="C25" s="36">
        <v>131</v>
      </c>
      <c r="D25" s="36">
        <v>146</v>
      </c>
      <c r="E25" s="36">
        <v>146</v>
      </c>
      <c r="F25" s="36">
        <v>148</v>
      </c>
      <c r="G25" s="36">
        <v>157</v>
      </c>
      <c r="H25" s="36">
        <v>156</v>
      </c>
      <c r="I25" s="36">
        <v>157</v>
      </c>
      <c r="J25" s="36">
        <v>149</v>
      </c>
      <c r="K25" s="36">
        <v>148</v>
      </c>
      <c r="L25" s="36">
        <v>152</v>
      </c>
      <c r="M25" s="36">
        <v>148</v>
      </c>
      <c r="N25" s="29">
        <f t="shared" si="1"/>
        <v>1768</v>
      </c>
    </row>
    <row r="26" spans="1:14" x14ac:dyDescent="0.2">
      <c r="A26" s="22" t="s">
        <v>24</v>
      </c>
      <c r="B26" s="11">
        <f>SUM(B20:B25)</f>
        <v>1017</v>
      </c>
      <c r="C26" s="11">
        <f t="shared" ref="C26:M26" si="3">SUM(C20:C25)</f>
        <v>1049</v>
      </c>
      <c r="D26" s="11">
        <f t="shared" si="3"/>
        <v>1097</v>
      </c>
      <c r="E26" s="11">
        <f t="shared" si="3"/>
        <v>1094</v>
      </c>
      <c r="F26" s="11">
        <f t="shared" si="3"/>
        <v>1107</v>
      </c>
      <c r="G26" s="11">
        <f t="shared" si="3"/>
        <v>1145</v>
      </c>
      <c r="H26" s="11">
        <f t="shared" si="3"/>
        <v>1162</v>
      </c>
      <c r="I26" s="11">
        <f t="shared" si="3"/>
        <v>1174</v>
      </c>
      <c r="J26" s="11">
        <f t="shared" si="3"/>
        <v>1159</v>
      </c>
      <c r="K26" s="11">
        <f t="shared" si="3"/>
        <v>1159</v>
      </c>
      <c r="L26" s="11">
        <f t="shared" si="3"/>
        <v>1183</v>
      </c>
      <c r="M26" s="11">
        <f t="shared" si="3"/>
        <v>1218</v>
      </c>
      <c r="N26" s="12">
        <f>SUM(B26:M26)</f>
        <v>13564</v>
      </c>
    </row>
    <row r="27" spans="1:14" x14ac:dyDescent="0.2">
      <c r="A27" s="1" t="s">
        <v>27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3"/>
    </row>
    <row r="28" spans="1:14" x14ac:dyDescent="0.2">
      <c r="A28" s="21" t="s">
        <v>11</v>
      </c>
      <c r="B28" s="32">
        <v>153</v>
      </c>
      <c r="C28" s="32">
        <v>162</v>
      </c>
      <c r="D28" s="32">
        <v>174</v>
      </c>
      <c r="E28" s="32">
        <v>177</v>
      </c>
      <c r="F28" s="32">
        <v>179</v>
      </c>
      <c r="G28" s="32">
        <v>198</v>
      </c>
      <c r="H28" s="32">
        <v>194</v>
      </c>
      <c r="I28" s="32">
        <v>185</v>
      </c>
      <c r="J28" s="32">
        <v>180</v>
      </c>
      <c r="K28" s="32">
        <v>178</v>
      </c>
      <c r="L28" s="32">
        <v>185</v>
      </c>
      <c r="M28" s="32">
        <v>189</v>
      </c>
      <c r="N28" s="12">
        <f>SUM(B28:M28)</f>
        <v>2154</v>
      </c>
    </row>
    <row r="29" spans="1:14" x14ac:dyDescent="0.2">
      <c r="A29" s="26" t="s">
        <v>30</v>
      </c>
      <c r="B29" s="32">
        <v>0</v>
      </c>
      <c r="C29" s="32">
        <v>0</v>
      </c>
      <c r="D29" s="32">
        <v>0</v>
      </c>
      <c r="E29" s="32">
        <v>1625</v>
      </c>
      <c r="F29" s="32">
        <v>3012</v>
      </c>
      <c r="G29" s="32">
        <v>90</v>
      </c>
      <c r="H29" s="32">
        <v>0</v>
      </c>
      <c r="I29" s="32">
        <v>0</v>
      </c>
      <c r="J29" s="32">
        <v>0</v>
      </c>
      <c r="K29" s="32">
        <v>0</v>
      </c>
      <c r="L29" s="32">
        <v>0</v>
      </c>
      <c r="M29" s="32">
        <v>5</v>
      </c>
      <c r="N29" s="12">
        <f>SUM(B29:M29)</f>
        <v>4732</v>
      </c>
    </row>
    <row r="30" spans="1:14" x14ac:dyDescent="0.2">
      <c r="A30" s="26" t="s">
        <v>31</v>
      </c>
      <c r="B30" s="32">
        <v>125</v>
      </c>
      <c r="C30" s="32">
        <v>149</v>
      </c>
      <c r="D30" s="32">
        <v>145</v>
      </c>
      <c r="E30" s="32">
        <v>0</v>
      </c>
      <c r="F30" s="32">
        <v>0</v>
      </c>
      <c r="G30" s="32">
        <v>144</v>
      </c>
      <c r="H30" s="32">
        <v>142</v>
      </c>
      <c r="I30" s="32">
        <v>201</v>
      </c>
      <c r="J30" s="32">
        <v>149</v>
      </c>
      <c r="K30" s="32">
        <v>154</v>
      </c>
      <c r="L30" s="32">
        <v>196</v>
      </c>
      <c r="M30" s="32">
        <v>203</v>
      </c>
      <c r="N30" s="12">
        <f t="shared" ref="N30:N31" si="4">SUM(B30:M30)</f>
        <v>1608</v>
      </c>
    </row>
    <row r="31" spans="1:14" x14ac:dyDescent="0.2">
      <c r="A31" s="20" t="s">
        <v>15</v>
      </c>
      <c r="B31" s="37">
        <v>189</v>
      </c>
      <c r="C31" s="37">
        <v>82</v>
      </c>
      <c r="D31" s="37">
        <v>81</v>
      </c>
      <c r="E31" s="37">
        <v>87</v>
      </c>
      <c r="F31" s="37">
        <v>91</v>
      </c>
      <c r="G31" s="37">
        <v>89</v>
      </c>
      <c r="H31" s="37">
        <v>86</v>
      </c>
      <c r="I31" s="37">
        <v>85</v>
      </c>
      <c r="J31" s="37">
        <v>88</v>
      </c>
      <c r="K31" s="37">
        <v>87</v>
      </c>
      <c r="L31" s="37">
        <v>101</v>
      </c>
      <c r="M31" s="37">
        <v>102</v>
      </c>
      <c r="N31" s="29">
        <f t="shared" si="4"/>
        <v>1168</v>
      </c>
    </row>
    <row r="32" spans="1:14" x14ac:dyDescent="0.2">
      <c r="A32" s="17" t="s">
        <v>39</v>
      </c>
      <c r="B32" s="11">
        <f>SUM(B28:B31)</f>
        <v>467</v>
      </c>
      <c r="C32" s="11">
        <f t="shared" ref="C32:M32" si="5">SUM(C28:C31)</f>
        <v>393</v>
      </c>
      <c r="D32" s="11">
        <f t="shared" si="5"/>
        <v>400</v>
      </c>
      <c r="E32" s="11">
        <f t="shared" si="5"/>
        <v>1889</v>
      </c>
      <c r="F32" s="11">
        <f t="shared" si="5"/>
        <v>3282</v>
      </c>
      <c r="G32" s="11">
        <f t="shared" si="5"/>
        <v>521</v>
      </c>
      <c r="H32" s="11">
        <f t="shared" si="5"/>
        <v>422</v>
      </c>
      <c r="I32" s="11">
        <f t="shared" si="5"/>
        <v>471</v>
      </c>
      <c r="J32" s="11">
        <f t="shared" si="5"/>
        <v>417</v>
      </c>
      <c r="K32" s="11">
        <f t="shared" si="5"/>
        <v>419</v>
      </c>
      <c r="L32" s="11">
        <f t="shared" si="5"/>
        <v>482</v>
      </c>
      <c r="M32" s="11">
        <f t="shared" si="5"/>
        <v>499</v>
      </c>
      <c r="N32" s="12">
        <f>SUM(B32:M32)</f>
        <v>9662</v>
      </c>
    </row>
    <row r="33" spans="1:14" x14ac:dyDescent="0.2">
      <c r="A33" s="1" t="s">
        <v>12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3"/>
    </row>
    <row r="34" spans="1:14" x14ac:dyDescent="0.2">
      <c r="A34" t="s">
        <v>32</v>
      </c>
      <c r="B34" s="32">
        <v>231</v>
      </c>
      <c r="C34" s="32">
        <v>238</v>
      </c>
      <c r="D34" s="32">
        <v>238</v>
      </c>
      <c r="E34" s="32">
        <v>235</v>
      </c>
      <c r="F34" s="32">
        <v>221</v>
      </c>
      <c r="G34" s="32">
        <v>254</v>
      </c>
      <c r="H34" s="32">
        <v>261</v>
      </c>
      <c r="I34" s="32">
        <v>254</v>
      </c>
      <c r="J34" s="32">
        <v>252</v>
      </c>
      <c r="K34" s="32">
        <v>257</v>
      </c>
      <c r="L34" s="32">
        <v>261</v>
      </c>
      <c r="M34" s="32">
        <v>262</v>
      </c>
      <c r="N34" s="12">
        <f t="shared" ref="N34:N37" si="6">SUM(B34:M34)</f>
        <v>2964</v>
      </c>
    </row>
    <row r="35" spans="1:14" x14ac:dyDescent="0.2">
      <c r="A35" t="s">
        <v>33</v>
      </c>
      <c r="B35" s="32">
        <v>165</v>
      </c>
      <c r="C35" s="32">
        <v>164</v>
      </c>
      <c r="D35" s="32">
        <v>171</v>
      </c>
      <c r="E35" s="32">
        <v>154</v>
      </c>
      <c r="F35" s="32">
        <v>151</v>
      </c>
      <c r="G35" s="32">
        <v>162</v>
      </c>
      <c r="H35" s="32">
        <v>174</v>
      </c>
      <c r="I35" s="32">
        <v>165</v>
      </c>
      <c r="J35" s="32">
        <v>162</v>
      </c>
      <c r="K35" s="32">
        <v>164</v>
      </c>
      <c r="L35" s="32">
        <v>160</v>
      </c>
      <c r="M35" s="32">
        <v>158</v>
      </c>
      <c r="N35" s="12">
        <f t="shared" si="6"/>
        <v>1950</v>
      </c>
    </row>
    <row r="36" spans="1:14" x14ac:dyDescent="0.2">
      <c r="A36" t="s">
        <v>35</v>
      </c>
      <c r="B36" s="32">
        <v>83</v>
      </c>
      <c r="C36" s="32">
        <v>59</v>
      </c>
      <c r="D36" s="32">
        <v>67</v>
      </c>
      <c r="E36" s="32">
        <v>57</v>
      </c>
      <c r="F36" s="32">
        <v>53</v>
      </c>
      <c r="G36" s="32">
        <v>49</v>
      </c>
      <c r="H36" s="32">
        <v>52</v>
      </c>
      <c r="I36" s="32">
        <v>51</v>
      </c>
      <c r="J36" s="32">
        <v>50</v>
      </c>
      <c r="K36" s="32">
        <v>51</v>
      </c>
      <c r="L36" s="32">
        <v>69</v>
      </c>
      <c r="M36" s="32">
        <v>65</v>
      </c>
      <c r="N36" s="12">
        <f t="shared" si="6"/>
        <v>706</v>
      </c>
    </row>
    <row r="37" spans="1:14" x14ac:dyDescent="0.2">
      <c r="A37" s="20" t="s">
        <v>34</v>
      </c>
      <c r="B37" s="37">
        <v>63</v>
      </c>
      <c r="C37" s="37">
        <v>72</v>
      </c>
      <c r="D37" s="37">
        <v>77</v>
      </c>
      <c r="E37" s="37">
        <v>71</v>
      </c>
      <c r="F37" s="37">
        <v>64</v>
      </c>
      <c r="G37" s="37">
        <v>65</v>
      </c>
      <c r="H37" s="37">
        <v>79</v>
      </c>
      <c r="I37" s="37">
        <v>72</v>
      </c>
      <c r="J37" s="37">
        <v>76</v>
      </c>
      <c r="K37" s="37">
        <v>69</v>
      </c>
      <c r="L37" s="37">
        <v>75</v>
      </c>
      <c r="M37" s="37">
        <v>77</v>
      </c>
      <c r="N37" s="29">
        <f t="shared" si="6"/>
        <v>860</v>
      </c>
    </row>
    <row r="38" spans="1:14" x14ac:dyDescent="0.2">
      <c r="A38" s="22" t="s">
        <v>36</v>
      </c>
      <c r="B38" s="33">
        <f>SUM(B34:B37)</f>
        <v>542</v>
      </c>
      <c r="C38" s="33">
        <f t="shared" ref="C38:M38" si="7">SUM(C34:C37)</f>
        <v>533</v>
      </c>
      <c r="D38" s="33">
        <f t="shared" si="7"/>
        <v>553</v>
      </c>
      <c r="E38" s="33">
        <f t="shared" si="7"/>
        <v>517</v>
      </c>
      <c r="F38" s="33">
        <f t="shared" si="7"/>
        <v>489</v>
      </c>
      <c r="G38" s="33">
        <f t="shared" si="7"/>
        <v>530</v>
      </c>
      <c r="H38" s="33">
        <f t="shared" si="7"/>
        <v>566</v>
      </c>
      <c r="I38" s="33">
        <f t="shared" si="7"/>
        <v>542</v>
      </c>
      <c r="J38" s="33">
        <f t="shared" si="7"/>
        <v>540</v>
      </c>
      <c r="K38" s="33">
        <f t="shared" si="7"/>
        <v>541</v>
      </c>
      <c r="L38" s="33">
        <f t="shared" si="7"/>
        <v>565</v>
      </c>
      <c r="M38" s="33">
        <f t="shared" si="7"/>
        <v>562</v>
      </c>
      <c r="N38" s="12">
        <f>SUM(B38:M38)</f>
        <v>6480</v>
      </c>
    </row>
    <row r="39" spans="1:14" x14ac:dyDescent="0.2">
      <c r="A39" s="27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9"/>
    </row>
    <row r="40" spans="1:14" x14ac:dyDescent="0.2">
      <c r="A40" s="34" t="s">
        <v>37</v>
      </c>
      <c r="B40" s="33">
        <f>SUM(B18,B26,B32,B38)</f>
        <v>3654</v>
      </c>
      <c r="C40" s="33">
        <f t="shared" ref="C40:M40" si="8">SUM(C18,C26,C32,C38)</f>
        <v>3661</v>
      </c>
      <c r="D40" s="33">
        <f t="shared" si="8"/>
        <v>3797</v>
      </c>
      <c r="E40" s="33">
        <f t="shared" si="8"/>
        <v>5226</v>
      </c>
      <c r="F40" s="33">
        <f t="shared" si="8"/>
        <v>6598</v>
      </c>
      <c r="G40" s="33">
        <f t="shared" si="8"/>
        <v>3997</v>
      </c>
      <c r="H40" s="33">
        <f t="shared" si="8"/>
        <v>4031</v>
      </c>
      <c r="I40" s="33">
        <f t="shared" si="8"/>
        <v>4093</v>
      </c>
      <c r="J40" s="33">
        <f t="shared" si="8"/>
        <v>4002</v>
      </c>
      <c r="K40" s="33">
        <f t="shared" si="8"/>
        <v>4011</v>
      </c>
      <c r="L40" s="33">
        <f t="shared" si="8"/>
        <v>4143</v>
      </c>
      <c r="M40" s="33">
        <f t="shared" si="8"/>
        <v>4212</v>
      </c>
      <c r="N40" s="12">
        <f>SUM(B40:M40)</f>
        <v>51425</v>
      </c>
    </row>
    <row r="41" spans="1:14" x14ac:dyDescent="0.2">
      <c r="A41" s="31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41" t="s">
        <v>40</v>
      </c>
      <c r="N41" s="41">
        <v>51425</v>
      </c>
    </row>
    <row r="42" spans="1:14" ht="17" thickBot="1" x14ac:dyDescent="0.25">
      <c r="A42" s="30" t="s">
        <v>38</v>
      </c>
      <c r="B42" s="39">
        <f>SUM(B10,B40)</f>
        <v>6435</v>
      </c>
      <c r="C42" s="39">
        <f t="shared" ref="C42:M42" si="9">SUM(C10,C40)</f>
        <v>6492</v>
      </c>
      <c r="D42" s="39">
        <f t="shared" si="9"/>
        <v>6762</v>
      </c>
      <c r="E42" s="39">
        <f t="shared" si="9"/>
        <v>8193</v>
      </c>
      <c r="F42" s="39">
        <f t="shared" si="9"/>
        <v>9590</v>
      </c>
      <c r="G42" s="39">
        <f t="shared" si="9"/>
        <v>6967</v>
      </c>
      <c r="H42" s="39">
        <f t="shared" si="9"/>
        <v>6991</v>
      </c>
      <c r="I42" s="39">
        <f t="shared" si="9"/>
        <v>7068</v>
      </c>
      <c r="J42" s="39">
        <f t="shared" si="9"/>
        <v>7008</v>
      </c>
      <c r="K42" s="39">
        <f t="shared" si="9"/>
        <v>7052</v>
      </c>
      <c r="L42" s="39">
        <f t="shared" si="9"/>
        <v>7219</v>
      </c>
      <c r="M42" s="39">
        <f t="shared" si="9"/>
        <v>7347</v>
      </c>
      <c r="N42" s="40">
        <f>SUM(B42:M42)</f>
        <v>87124</v>
      </c>
    </row>
    <row r="43" spans="1:14" ht="17" thickTop="1" x14ac:dyDescent="0.2"/>
    <row r="48" spans="1:14" x14ac:dyDescent="0.2">
      <c r="B48" s="17"/>
    </row>
  </sheetData>
  <mergeCells count="1">
    <mergeCell ref="B2:E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C0890-0217-524C-9AED-10919D8B15CF}">
  <dimension ref="A2:N4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A6" sqref="A6"/>
    </sheetView>
  </sheetViews>
  <sheetFormatPr baseColWidth="10" defaultRowHeight="16" x14ac:dyDescent="0.2"/>
  <cols>
    <col min="1" max="1" width="33.6640625" customWidth="1"/>
    <col min="2" max="14" width="12.83203125" customWidth="1"/>
  </cols>
  <sheetData>
    <row r="2" spans="1:14" x14ac:dyDescent="0.2">
      <c r="B2" s="47" t="s">
        <v>7</v>
      </c>
      <c r="C2" s="47"/>
      <c r="D2" s="47"/>
      <c r="E2" s="47"/>
    </row>
    <row r="3" spans="1:14" x14ac:dyDescent="0.2">
      <c r="A3" s="13"/>
      <c r="B3" s="47"/>
      <c r="C3" s="47"/>
      <c r="D3" s="47"/>
      <c r="E3" s="47"/>
    </row>
    <row r="4" spans="1:14" x14ac:dyDescent="0.2">
      <c r="A4" s="13"/>
      <c r="B4" s="18" t="s">
        <v>5</v>
      </c>
      <c r="C4" s="17"/>
      <c r="D4" s="18"/>
      <c r="E4" s="18"/>
    </row>
    <row r="6" spans="1:14" x14ac:dyDescent="0.2">
      <c r="A6" s="24" t="s">
        <v>29</v>
      </c>
      <c r="B6" s="15">
        <v>43101</v>
      </c>
      <c r="C6" s="15">
        <v>43132</v>
      </c>
      <c r="D6" s="15">
        <v>43160</v>
      </c>
      <c r="E6" s="15">
        <v>43191</v>
      </c>
      <c r="F6" s="15">
        <v>43221</v>
      </c>
      <c r="G6" s="15">
        <v>43252</v>
      </c>
      <c r="H6" s="15">
        <v>43282</v>
      </c>
      <c r="I6" s="15">
        <v>43313</v>
      </c>
      <c r="J6" s="15">
        <v>43344</v>
      </c>
      <c r="K6" s="15">
        <v>43374</v>
      </c>
      <c r="L6" s="15">
        <v>43405</v>
      </c>
      <c r="M6" s="15">
        <v>43435</v>
      </c>
      <c r="N6" s="16" t="s">
        <v>4</v>
      </c>
    </row>
    <row r="7" spans="1:14" x14ac:dyDescent="0.2">
      <c r="A7" s="1" t="s">
        <v>20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3"/>
    </row>
    <row r="8" spans="1:14" x14ac:dyDescent="0.2">
      <c r="A8" s="4" t="s">
        <v>1</v>
      </c>
      <c r="B8" s="5">
        <v>2244</v>
      </c>
      <c r="C8" s="5">
        <v>2240</v>
      </c>
      <c r="D8" s="5">
        <v>2131</v>
      </c>
      <c r="E8" s="5">
        <v>2144</v>
      </c>
      <c r="F8" s="5">
        <v>2161</v>
      </c>
      <c r="G8" s="5">
        <v>2229</v>
      </c>
      <c r="H8" s="5">
        <v>2225</v>
      </c>
      <c r="I8" s="5">
        <v>2214</v>
      </c>
      <c r="J8" s="5">
        <v>2238</v>
      </c>
      <c r="K8" s="5">
        <v>2429</v>
      </c>
      <c r="L8" s="5">
        <v>2421</v>
      </c>
      <c r="M8" s="5">
        <v>2437</v>
      </c>
      <c r="N8" s="6">
        <f>SUM(B8:M8)</f>
        <v>27113</v>
      </c>
    </row>
    <row r="9" spans="1:14" x14ac:dyDescent="0.2">
      <c r="A9" s="7" t="s">
        <v>2</v>
      </c>
      <c r="B9" s="8">
        <v>696</v>
      </c>
      <c r="C9" s="8">
        <v>694</v>
      </c>
      <c r="D9" s="8">
        <v>661</v>
      </c>
      <c r="E9" s="8">
        <v>665</v>
      </c>
      <c r="F9" s="8">
        <v>670</v>
      </c>
      <c r="G9" s="8">
        <v>691</v>
      </c>
      <c r="H9" s="8">
        <v>690</v>
      </c>
      <c r="I9" s="8">
        <v>686</v>
      </c>
      <c r="J9" s="8">
        <v>694</v>
      </c>
      <c r="K9" s="8">
        <v>753</v>
      </c>
      <c r="L9" s="8">
        <v>751</v>
      </c>
      <c r="M9" s="8">
        <v>755</v>
      </c>
      <c r="N9" s="9">
        <f>SUM(B9:M9)</f>
        <v>8406</v>
      </c>
    </row>
    <row r="10" spans="1:14" x14ac:dyDescent="0.2">
      <c r="A10" s="10" t="s">
        <v>21</v>
      </c>
      <c r="B10" s="11">
        <f t="shared" ref="B10:N10" si="0">SUM(B8:B9)</f>
        <v>2940</v>
      </c>
      <c r="C10" s="11">
        <f t="shared" si="0"/>
        <v>2934</v>
      </c>
      <c r="D10" s="11">
        <f t="shared" si="0"/>
        <v>2792</v>
      </c>
      <c r="E10" s="11">
        <f t="shared" si="0"/>
        <v>2809</v>
      </c>
      <c r="F10" s="11">
        <f t="shared" si="0"/>
        <v>2831</v>
      </c>
      <c r="G10" s="11">
        <f t="shared" si="0"/>
        <v>2920</v>
      </c>
      <c r="H10" s="11">
        <f t="shared" si="0"/>
        <v>2915</v>
      </c>
      <c r="I10" s="11">
        <f t="shared" si="0"/>
        <v>2900</v>
      </c>
      <c r="J10" s="11">
        <f t="shared" si="0"/>
        <v>2932</v>
      </c>
      <c r="K10" s="11">
        <f t="shared" si="0"/>
        <v>3182</v>
      </c>
      <c r="L10" s="11">
        <f t="shared" si="0"/>
        <v>3172</v>
      </c>
      <c r="M10" s="11">
        <f t="shared" si="0"/>
        <v>3192</v>
      </c>
      <c r="N10" s="12">
        <f t="shared" si="0"/>
        <v>35519</v>
      </c>
    </row>
    <row r="11" spans="1:14" x14ac:dyDescent="0.2">
      <c r="A11" s="23" t="s">
        <v>28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25"/>
    </row>
    <row r="12" spans="1:14" x14ac:dyDescent="0.2">
      <c r="A12" s="1" t="s">
        <v>25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3"/>
    </row>
    <row r="13" spans="1:14" x14ac:dyDescent="0.2">
      <c r="A13" t="s">
        <v>13</v>
      </c>
      <c r="B13" s="35">
        <v>404</v>
      </c>
      <c r="C13" s="35">
        <v>411</v>
      </c>
      <c r="D13" s="35">
        <v>415</v>
      </c>
      <c r="E13" s="35">
        <v>414</v>
      </c>
      <c r="F13" s="35">
        <v>394</v>
      </c>
      <c r="G13" s="35">
        <v>402</v>
      </c>
      <c r="H13" s="35">
        <v>428</v>
      </c>
      <c r="I13" s="35">
        <v>415</v>
      </c>
      <c r="J13" s="35">
        <v>414</v>
      </c>
      <c r="K13" s="35">
        <v>418</v>
      </c>
      <c r="L13" s="35">
        <v>421</v>
      </c>
      <c r="M13" s="35">
        <v>428</v>
      </c>
      <c r="N13" s="12">
        <f>SUM(B13:M13)</f>
        <v>4964</v>
      </c>
    </row>
    <row r="14" spans="1:14" x14ac:dyDescent="0.2">
      <c r="A14" t="s">
        <v>14</v>
      </c>
      <c r="B14" s="35">
        <v>625</v>
      </c>
      <c r="C14" s="35">
        <v>622</v>
      </c>
      <c r="D14" s="35">
        <v>626</v>
      </c>
      <c r="E14" s="35">
        <v>601</v>
      </c>
      <c r="F14" s="35">
        <v>597</v>
      </c>
      <c r="G14" s="35">
        <v>639</v>
      </c>
      <c r="H14" s="35">
        <v>678</v>
      </c>
      <c r="I14" s="35">
        <v>643</v>
      </c>
      <c r="J14" s="35">
        <v>645</v>
      </c>
      <c r="K14" s="35">
        <v>657</v>
      </c>
      <c r="L14" s="35">
        <v>655</v>
      </c>
      <c r="M14" s="35">
        <v>659</v>
      </c>
      <c r="N14" s="12">
        <f t="shared" ref="N14:N24" si="1">SUM(B14:M14)</f>
        <v>7647</v>
      </c>
    </row>
    <row r="15" spans="1:14" x14ac:dyDescent="0.2">
      <c r="A15" t="s">
        <v>10</v>
      </c>
      <c r="B15" s="35">
        <v>354</v>
      </c>
      <c r="C15" s="35">
        <v>356</v>
      </c>
      <c r="D15" s="35">
        <v>361</v>
      </c>
      <c r="E15" s="35">
        <v>357</v>
      </c>
      <c r="F15" s="35">
        <v>310</v>
      </c>
      <c r="G15" s="35">
        <v>313</v>
      </c>
      <c r="H15" s="35">
        <v>325</v>
      </c>
      <c r="I15" s="35">
        <v>344</v>
      </c>
      <c r="J15" s="35">
        <v>347</v>
      </c>
      <c r="K15" s="35">
        <v>352</v>
      </c>
      <c r="L15" s="35">
        <v>360</v>
      </c>
      <c r="M15" s="35">
        <v>362</v>
      </c>
      <c r="N15" s="12">
        <f t="shared" si="1"/>
        <v>4141</v>
      </c>
    </row>
    <row r="16" spans="1:14" x14ac:dyDescent="0.2">
      <c r="A16" t="s">
        <v>8</v>
      </c>
      <c r="B16" s="35">
        <v>329</v>
      </c>
      <c r="C16" s="35">
        <v>331</v>
      </c>
      <c r="D16" s="35">
        <v>330</v>
      </c>
      <c r="E16" s="35">
        <v>323</v>
      </c>
      <c r="F16" s="35">
        <v>317</v>
      </c>
      <c r="G16" s="35">
        <v>331</v>
      </c>
      <c r="H16" s="35">
        <v>353</v>
      </c>
      <c r="I16" s="35">
        <v>358</v>
      </c>
      <c r="J16" s="35">
        <v>359</v>
      </c>
      <c r="K16" s="35">
        <v>361</v>
      </c>
      <c r="L16" s="35">
        <v>353</v>
      </c>
      <c r="M16" s="35">
        <v>362</v>
      </c>
      <c r="N16" s="12">
        <f t="shared" si="1"/>
        <v>4107</v>
      </c>
    </row>
    <row r="17" spans="1:14" x14ac:dyDescent="0.2">
      <c r="A17" t="s">
        <v>16</v>
      </c>
      <c r="B17" s="36">
        <v>216</v>
      </c>
      <c r="C17" s="36">
        <v>217</v>
      </c>
      <c r="D17" s="36">
        <v>214</v>
      </c>
      <c r="E17" s="36">
        <v>209</v>
      </c>
      <c r="F17" s="36">
        <v>202</v>
      </c>
      <c r="G17" s="36">
        <v>220</v>
      </c>
      <c r="H17" s="36">
        <v>243</v>
      </c>
      <c r="I17" s="36">
        <v>224</v>
      </c>
      <c r="J17" s="36">
        <v>228</v>
      </c>
      <c r="K17" s="36">
        <v>226</v>
      </c>
      <c r="L17" s="36">
        <v>221</v>
      </c>
      <c r="M17" s="44">
        <v>228</v>
      </c>
      <c r="N17" s="29">
        <f t="shared" si="1"/>
        <v>2648</v>
      </c>
    </row>
    <row r="18" spans="1:14" x14ac:dyDescent="0.2">
      <c r="A18" s="10" t="s">
        <v>26</v>
      </c>
      <c r="B18" s="11">
        <f>SUM(B13:B17)</f>
        <v>1928</v>
      </c>
      <c r="C18" s="11">
        <f t="shared" ref="C18:M18" si="2">SUM(C13:C17)</f>
        <v>1937</v>
      </c>
      <c r="D18" s="11">
        <f t="shared" si="2"/>
        <v>1946</v>
      </c>
      <c r="E18" s="11">
        <f t="shared" si="2"/>
        <v>1904</v>
      </c>
      <c r="F18" s="11">
        <f t="shared" si="2"/>
        <v>1820</v>
      </c>
      <c r="G18" s="11">
        <f t="shared" si="2"/>
        <v>1905</v>
      </c>
      <c r="H18" s="11">
        <f t="shared" si="2"/>
        <v>2027</v>
      </c>
      <c r="I18" s="11">
        <f t="shared" si="2"/>
        <v>1984</v>
      </c>
      <c r="J18" s="11">
        <f t="shared" si="2"/>
        <v>1993</v>
      </c>
      <c r="K18" s="11">
        <f t="shared" si="2"/>
        <v>2014</v>
      </c>
      <c r="L18" s="11">
        <f t="shared" si="2"/>
        <v>2010</v>
      </c>
      <c r="M18" s="11">
        <f t="shared" si="2"/>
        <v>2039</v>
      </c>
      <c r="N18" s="12">
        <f>SUM(B18:M18)</f>
        <v>23507</v>
      </c>
    </row>
    <row r="19" spans="1:14" x14ac:dyDescent="0.2">
      <c r="A19" s="1" t="s">
        <v>9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3"/>
    </row>
    <row r="20" spans="1:14" x14ac:dyDescent="0.2">
      <c r="A20" t="s">
        <v>17</v>
      </c>
      <c r="B20" s="35">
        <v>246</v>
      </c>
      <c r="C20" s="35">
        <v>246</v>
      </c>
      <c r="D20" s="35">
        <v>248</v>
      </c>
      <c r="E20" s="35">
        <v>247</v>
      </c>
      <c r="F20" s="35">
        <v>251</v>
      </c>
      <c r="G20" s="35">
        <v>255</v>
      </c>
      <c r="H20" s="35">
        <v>266</v>
      </c>
      <c r="I20" s="35">
        <v>266</v>
      </c>
      <c r="J20" s="35">
        <v>267</v>
      </c>
      <c r="K20" s="35">
        <v>269</v>
      </c>
      <c r="L20" s="35">
        <v>270</v>
      </c>
      <c r="M20" s="35">
        <v>282</v>
      </c>
      <c r="N20" s="12">
        <f t="shared" si="1"/>
        <v>3113</v>
      </c>
    </row>
    <row r="21" spans="1:14" x14ac:dyDescent="0.2">
      <c r="A21" t="s">
        <v>22</v>
      </c>
      <c r="B21" s="35">
        <v>267</v>
      </c>
      <c r="C21" s="35">
        <v>263</v>
      </c>
      <c r="D21" s="35">
        <v>261</v>
      </c>
      <c r="E21" s="35">
        <v>258</v>
      </c>
      <c r="F21" s="35">
        <v>260</v>
      </c>
      <c r="G21" s="35">
        <v>261</v>
      </c>
      <c r="H21" s="35">
        <v>262</v>
      </c>
      <c r="I21" s="35">
        <v>262</v>
      </c>
      <c r="J21" s="35">
        <v>261</v>
      </c>
      <c r="K21" s="35">
        <v>258</v>
      </c>
      <c r="L21" s="35">
        <v>257</v>
      </c>
      <c r="M21" s="35">
        <v>270</v>
      </c>
      <c r="N21" s="12">
        <f t="shared" si="1"/>
        <v>3140</v>
      </c>
    </row>
    <row r="22" spans="1:14" x14ac:dyDescent="0.2">
      <c r="A22" t="s">
        <v>18</v>
      </c>
      <c r="B22" s="35">
        <v>208</v>
      </c>
      <c r="C22" s="35">
        <v>209</v>
      </c>
      <c r="D22" s="35">
        <v>211</v>
      </c>
      <c r="E22" s="35">
        <v>208</v>
      </c>
      <c r="F22" s="35">
        <v>204</v>
      </c>
      <c r="G22" s="35">
        <v>210</v>
      </c>
      <c r="H22" s="35">
        <v>217</v>
      </c>
      <c r="I22" s="35">
        <v>220</v>
      </c>
      <c r="J22" s="35">
        <v>222</v>
      </c>
      <c r="K22" s="35">
        <v>221</v>
      </c>
      <c r="L22" s="35">
        <v>219</v>
      </c>
      <c r="M22" s="35">
        <v>230</v>
      </c>
      <c r="N22" s="12">
        <f t="shared" si="1"/>
        <v>2579</v>
      </c>
    </row>
    <row r="23" spans="1:14" x14ac:dyDescent="0.2">
      <c r="A23" t="s">
        <v>19</v>
      </c>
      <c r="B23" s="35">
        <v>194</v>
      </c>
      <c r="C23" s="35">
        <v>196</v>
      </c>
      <c r="D23" s="35">
        <v>199</v>
      </c>
      <c r="E23" s="35">
        <v>197</v>
      </c>
      <c r="F23" s="35">
        <v>196</v>
      </c>
      <c r="G23" s="35">
        <v>208</v>
      </c>
      <c r="H23" s="35">
        <v>221</v>
      </c>
      <c r="I23" s="35">
        <v>228</v>
      </c>
      <c r="J23" s="35">
        <v>227</v>
      </c>
      <c r="K23" s="35">
        <v>228</v>
      </c>
      <c r="L23" s="35">
        <v>228</v>
      </c>
      <c r="M23" s="35">
        <v>239</v>
      </c>
      <c r="N23" s="12">
        <f t="shared" si="1"/>
        <v>2561</v>
      </c>
    </row>
    <row r="24" spans="1:14" x14ac:dyDescent="0.2">
      <c r="A24" t="s">
        <v>23</v>
      </c>
      <c r="B24" s="35">
        <v>154</v>
      </c>
      <c r="C24" s="35">
        <v>155</v>
      </c>
      <c r="D24" s="35">
        <v>156</v>
      </c>
      <c r="E24" s="35">
        <v>155</v>
      </c>
      <c r="F24" s="35">
        <v>143</v>
      </c>
      <c r="G24" s="35">
        <v>148</v>
      </c>
      <c r="H24" s="35">
        <v>152</v>
      </c>
      <c r="I24" s="35">
        <v>161</v>
      </c>
      <c r="J24" s="35">
        <v>153</v>
      </c>
      <c r="K24" s="35">
        <v>155</v>
      </c>
      <c r="L24" s="35">
        <v>156</v>
      </c>
      <c r="M24" s="35">
        <v>168</v>
      </c>
      <c r="N24" s="12">
        <f t="shared" si="1"/>
        <v>1856</v>
      </c>
    </row>
    <row r="25" spans="1:14" x14ac:dyDescent="0.2">
      <c r="A25" s="20" t="s">
        <v>16</v>
      </c>
      <c r="B25" s="36">
        <v>144</v>
      </c>
      <c r="C25" s="36">
        <v>142</v>
      </c>
      <c r="D25" s="36">
        <v>141</v>
      </c>
      <c r="E25" s="36">
        <v>120</v>
      </c>
      <c r="F25" s="36">
        <v>108</v>
      </c>
      <c r="G25" s="36">
        <v>119</v>
      </c>
      <c r="H25" s="36">
        <v>117</v>
      </c>
      <c r="I25" s="36">
        <v>114</v>
      </c>
      <c r="J25" s="36">
        <v>125</v>
      </c>
      <c r="K25" s="36">
        <v>126</v>
      </c>
      <c r="L25" s="36">
        <v>122</v>
      </c>
      <c r="M25" s="36">
        <v>124</v>
      </c>
      <c r="N25" s="29">
        <f t="shared" ref="N25" si="3">SUM(B25:M25)</f>
        <v>1502</v>
      </c>
    </row>
    <row r="26" spans="1:14" x14ac:dyDescent="0.2">
      <c r="A26" s="22" t="s">
        <v>24</v>
      </c>
      <c r="B26" s="11">
        <f>SUM(B20:B25)</f>
        <v>1213</v>
      </c>
      <c r="C26" s="11">
        <f t="shared" ref="C26:M26" si="4">SUM(C20:C25)</f>
        <v>1211</v>
      </c>
      <c r="D26" s="11">
        <f t="shared" si="4"/>
        <v>1216</v>
      </c>
      <c r="E26" s="11">
        <f t="shared" si="4"/>
        <v>1185</v>
      </c>
      <c r="F26" s="11">
        <f t="shared" si="4"/>
        <v>1162</v>
      </c>
      <c r="G26" s="11">
        <f t="shared" si="4"/>
        <v>1201</v>
      </c>
      <c r="H26" s="11">
        <f t="shared" si="4"/>
        <v>1235</v>
      </c>
      <c r="I26" s="11">
        <f t="shared" si="4"/>
        <v>1251</v>
      </c>
      <c r="J26" s="11">
        <f t="shared" si="4"/>
        <v>1255</v>
      </c>
      <c r="K26" s="11">
        <f t="shared" si="4"/>
        <v>1257</v>
      </c>
      <c r="L26" s="11">
        <f t="shared" si="4"/>
        <v>1252</v>
      </c>
      <c r="M26" s="11">
        <f t="shared" si="4"/>
        <v>1313</v>
      </c>
      <c r="N26" s="12">
        <f>SUM(B26:M26)</f>
        <v>14751</v>
      </c>
    </row>
    <row r="27" spans="1:14" x14ac:dyDescent="0.2">
      <c r="A27" s="1" t="s">
        <v>27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3"/>
    </row>
    <row r="28" spans="1:14" x14ac:dyDescent="0.2">
      <c r="A28" s="21" t="s">
        <v>11</v>
      </c>
      <c r="B28" s="32">
        <v>190</v>
      </c>
      <c r="C28" s="32">
        <v>187</v>
      </c>
      <c r="D28" s="32">
        <v>186</v>
      </c>
      <c r="E28" s="32">
        <v>171</v>
      </c>
      <c r="F28" s="32">
        <v>162</v>
      </c>
      <c r="G28" s="32">
        <v>187</v>
      </c>
      <c r="H28" s="32">
        <v>194</v>
      </c>
      <c r="I28" s="32">
        <v>201</v>
      </c>
      <c r="J28" s="32">
        <v>204</v>
      </c>
      <c r="K28" s="32">
        <v>202</v>
      </c>
      <c r="L28" s="32">
        <v>243</v>
      </c>
      <c r="M28" s="32">
        <v>233</v>
      </c>
      <c r="N28" s="12">
        <f>SUM(B28:M28)</f>
        <v>2360</v>
      </c>
    </row>
    <row r="29" spans="1:14" x14ac:dyDescent="0.2">
      <c r="A29" s="26" t="s">
        <v>30</v>
      </c>
      <c r="B29" s="32">
        <v>0</v>
      </c>
      <c r="C29" s="32">
        <v>0</v>
      </c>
      <c r="D29" s="32">
        <v>0</v>
      </c>
      <c r="E29" s="32">
        <v>1503</v>
      </c>
      <c r="F29" s="32">
        <v>2976</v>
      </c>
      <c r="G29" s="32">
        <v>175</v>
      </c>
      <c r="H29" s="32">
        <v>0</v>
      </c>
      <c r="I29" s="32">
        <v>0</v>
      </c>
      <c r="J29" s="32">
        <v>0</v>
      </c>
      <c r="K29" s="32">
        <v>0</v>
      </c>
      <c r="L29" s="32">
        <v>0</v>
      </c>
      <c r="M29" s="32">
        <v>5</v>
      </c>
      <c r="N29" s="12">
        <f>SUM(B29:M29)</f>
        <v>4659</v>
      </c>
    </row>
    <row r="30" spans="1:14" x14ac:dyDescent="0.2">
      <c r="A30" s="26" t="s">
        <v>31</v>
      </c>
      <c r="B30" s="32">
        <v>23</v>
      </c>
      <c r="C30" s="32">
        <v>44</v>
      </c>
      <c r="D30" s="32">
        <v>57</v>
      </c>
      <c r="E30" s="32">
        <v>20</v>
      </c>
      <c r="F30" s="32">
        <v>7</v>
      </c>
      <c r="G30" s="32">
        <v>10</v>
      </c>
      <c r="H30" s="32">
        <v>18</v>
      </c>
      <c r="I30" s="32">
        <v>34</v>
      </c>
      <c r="J30" s="32">
        <v>40</v>
      </c>
      <c r="K30" s="32">
        <v>48</v>
      </c>
      <c r="L30" s="32">
        <v>44</v>
      </c>
      <c r="M30" s="32"/>
      <c r="N30" s="12">
        <f t="shared" ref="N30:N31" si="5">SUM(B30:M30)</f>
        <v>345</v>
      </c>
    </row>
    <row r="31" spans="1:14" x14ac:dyDescent="0.2">
      <c r="A31" s="20" t="s">
        <v>15</v>
      </c>
      <c r="B31" s="37">
        <v>100</v>
      </c>
      <c r="C31" s="37">
        <v>103</v>
      </c>
      <c r="D31" s="37">
        <v>102</v>
      </c>
      <c r="E31" s="37">
        <v>107</v>
      </c>
      <c r="F31" s="37">
        <v>115</v>
      </c>
      <c r="G31" s="37">
        <v>114</v>
      </c>
      <c r="H31" s="37">
        <v>117</v>
      </c>
      <c r="I31" s="37">
        <v>122</v>
      </c>
      <c r="J31" s="37">
        <v>119</v>
      </c>
      <c r="K31" s="37">
        <v>126</v>
      </c>
      <c r="L31" s="37">
        <v>141</v>
      </c>
      <c r="M31" s="37">
        <v>154</v>
      </c>
      <c r="N31" s="29">
        <f t="shared" si="5"/>
        <v>1420</v>
      </c>
    </row>
    <row r="32" spans="1:14" x14ac:dyDescent="0.2">
      <c r="A32" s="17" t="s">
        <v>39</v>
      </c>
      <c r="B32" s="11">
        <f>SUM(B28:B31)</f>
        <v>313</v>
      </c>
      <c r="C32" s="11">
        <f t="shared" ref="C32:M32" si="6">SUM(C28:C31)</f>
        <v>334</v>
      </c>
      <c r="D32" s="11">
        <f t="shared" si="6"/>
        <v>345</v>
      </c>
      <c r="E32" s="11">
        <f t="shared" si="6"/>
        <v>1801</v>
      </c>
      <c r="F32" s="11">
        <f t="shared" si="6"/>
        <v>3260</v>
      </c>
      <c r="G32" s="11">
        <f t="shared" si="6"/>
        <v>486</v>
      </c>
      <c r="H32" s="11">
        <f t="shared" si="6"/>
        <v>329</v>
      </c>
      <c r="I32" s="11">
        <f t="shared" si="6"/>
        <v>357</v>
      </c>
      <c r="J32" s="11">
        <f t="shared" si="6"/>
        <v>363</v>
      </c>
      <c r="K32" s="11">
        <f t="shared" si="6"/>
        <v>376</v>
      </c>
      <c r="L32" s="11">
        <f t="shared" si="6"/>
        <v>428</v>
      </c>
      <c r="M32" s="11">
        <f t="shared" si="6"/>
        <v>392</v>
      </c>
      <c r="N32" s="12">
        <f>SUM(B32:M32)</f>
        <v>8784</v>
      </c>
    </row>
    <row r="33" spans="1:14" x14ac:dyDescent="0.2">
      <c r="A33" s="1" t="s">
        <v>12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3"/>
    </row>
    <row r="34" spans="1:14" x14ac:dyDescent="0.2">
      <c r="A34" t="s">
        <v>32</v>
      </c>
      <c r="B34" s="35">
        <v>204</v>
      </c>
      <c r="C34" s="35">
        <v>198</v>
      </c>
      <c r="D34" s="35">
        <v>195</v>
      </c>
      <c r="E34" s="35">
        <v>186</v>
      </c>
      <c r="F34" s="35">
        <v>129</v>
      </c>
      <c r="G34" s="35">
        <v>185</v>
      </c>
      <c r="H34" s="35">
        <v>194</v>
      </c>
      <c r="I34" s="35">
        <v>208</v>
      </c>
      <c r="J34" s="35">
        <v>210</v>
      </c>
      <c r="K34" s="35">
        <v>223</v>
      </c>
      <c r="L34" s="35">
        <v>225</v>
      </c>
      <c r="M34" s="35">
        <v>220</v>
      </c>
      <c r="N34" s="12">
        <f t="shared" ref="N34:N36" si="7">SUM(B34:M34)</f>
        <v>2377</v>
      </c>
    </row>
    <row r="35" spans="1:14" x14ac:dyDescent="0.2">
      <c r="A35" t="s">
        <v>33</v>
      </c>
      <c r="B35" s="35">
        <v>149</v>
      </c>
      <c r="C35" s="35">
        <v>150</v>
      </c>
      <c r="D35" s="35">
        <v>151</v>
      </c>
      <c r="E35" s="35">
        <v>108</v>
      </c>
      <c r="F35" s="35">
        <v>104</v>
      </c>
      <c r="G35" s="35">
        <v>116</v>
      </c>
      <c r="H35" s="35">
        <v>124</v>
      </c>
      <c r="I35" s="35">
        <v>127</v>
      </c>
      <c r="J35" s="35">
        <v>122</v>
      </c>
      <c r="K35" s="35">
        <v>134</v>
      </c>
      <c r="L35" s="35">
        <v>127</v>
      </c>
      <c r="M35" s="35">
        <v>124</v>
      </c>
      <c r="N35" s="12">
        <f t="shared" si="7"/>
        <v>1536</v>
      </c>
    </row>
    <row r="36" spans="1:14" x14ac:dyDescent="0.2">
      <c r="A36" t="s">
        <v>35</v>
      </c>
      <c r="B36" s="35">
        <v>50</v>
      </c>
      <c r="C36" s="35">
        <v>65</v>
      </c>
      <c r="D36" s="35">
        <v>66</v>
      </c>
      <c r="E36" s="35">
        <v>62</v>
      </c>
      <c r="F36" s="35">
        <v>53</v>
      </c>
      <c r="G36" s="35">
        <v>50</v>
      </c>
      <c r="H36" s="35">
        <v>75</v>
      </c>
      <c r="I36" s="35">
        <v>76</v>
      </c>
      <c r="J36" s="35">
        <v>77</v>
      </c>
      <c r="K36" s="35">
        <v>80</v>
      </c>
      <c r="L36" s="35">
        <v>79</v>
      </c>
      <c r="M36" s="35">
        <v>62</v>
      </c>
      <c r="N36" s="12">
        <f t="shared" si="7"/>
        <v>795</v>
      </c>
    </row>
    <row r="37" spans="1:14" x14ac:dyDescent="0.2">
      <c r="A37" s="20" t="s">
        <v>34</v>
      </c>
      <c r="B37" s="36">
        <v>79</v>
      </c>
      <c r="C37" s="36">
        <v>72</v>
      </c>
      <c r="D37" s="36">
        <v>74</v>
      </c>
      <c r="E37" s="36">
        <v>57</v>
      </c>
      <c r="F37" s="36">
        <v>56</v>
      </c>
      <c r="G37" s="36">
        <v>61</v>
      </c>
      <c r="H37" s="36">
        <v>72</v>
      </c>
      <c r="I37" s="36">
        <v>84</v>
      </c>
      <c r="J37" s="36">
        <v>81</v>
      </c>
      <c r="K37" s="36">
        <v>83</v>
      </c>
      <c r="L37" s="36">
        <v>80</v>
      </c>
      <c r="M37" s="36">
        <v>78</v>
      </c>
      <c r="N37" s="29">
        <f t="shared" ref="N37" si="8">SUM(B37:M37)</f>
        <v>877</v>
      </c>
    </row>
    <row r="38" spans="1:14" x14ac:dyDescent="0.2">
      <c r="A38" s="22" t="s">
        <v>36</v>
      </c>
      <c r="B38" s="33">
        <f>SUM(B34:B37)</f>
        <v>482</v>
      </c>
      <c r="C38" s="33">
        <f t="shared" ref="C38:M38" si="9">SUM(C34:C37)</f>
        <v>485</v>
      </c>
      <c r="D38" s="33">
        <f t="shared" si="9"/>
        <v>486</v>
      </c>
      <c r="E38" s="33">
        <f t="shared" si="9"/>
        <v>413</v>
      </c>
      <c r="F38" s="33">
        <f t="shared" si="9"/>
        <v>342</v>
      </c>
      <c r="G38" s="33">
        <f t="shared" si="9"/>
        <v>412</v>
      </c>
      <c r="H38" s="33">
        <f t="shared" si="9"/>
        <v>465</v>
      </c>
      <c r="I38" s="33">
        <f t="shared" si="9"/>
        <v>495</v>
      </c>
      <c r="J38" s="33">
        <f t="shared" si="9"/>
        <v>490</v>
      </c>
      <c r="K38" s="33">
        <f t="shared" si="9"/>
        <v>520</v>
      </c>
      <c r="L38" s="33">
        <f t="shared" si="9"/>
        <v>511</v>
      </c>
      <c r="M38" s="33">
        <f t="shared" si="9"/>
        <v>484</v>
      </c>
      <c r="N38" s="12">
        <f>SUM(B38:M38)</f>
        <v>5585</v>
      </c>
    </row>
    <row r="39" spans="1:14" x14ac:dyDescent="0.2">
      <c r="A39" s="27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9"/>
    </row>
    <row r="40" spans="1:14" x14ac:dyDescent="0.2">
      <c r="A40" s="34" t="s">
        <v>37</v>
      </c>
      <c r="B40" s="33">
        <f>SUM(B18,B26,B32,B38)</f>
        <v>3936</v>
      </c>
      <c r="C40" s="33">
        <f t="shared" ref="C40:M40" si="10">SUM(C18,C26,C32,C38)</f>
        <v>3967</v>
      </c>
      <c r="D40" s="33">
        <f t="shared" si="10"/>
        <v>3993</v>
      </c>
      <c r="E40" s="33">
        <f t="shared" si="10"/>
        <v>5303</v>
      </c>
      <c r="F40" s="33">
        <f t="shared" si="10"/>
        <v>6584</v>
      </c>
      <c r="G40" s="33">
        <f t="shared" si="10"/>
        <v>4004</v>
      </c>
      <c r="H40" s="33">
        <f t="shared" si="10"/>
        <v>4056</v>
      </c>
      <c r="I40" s="33">
        <f t="shared" si="10"/>
        <v>4087</v>
      </c>
      <c r="J40" s="33">
        <f t="shared" si="10"/>
        <v>4101</v>
      </c>
      <c r="K40" s="33">
        <f t="shared" si="10"/>
        <v>4167</v>
      </c>
      <c r="L40" s="33">
        <f t="shared" si="10"/>
        <v>4201</v>
      </c>
      <c r="M40" s="33">
        <f t="shared" si="10"/>
        <v>4228</v>
      </c>
      <c r="N40" s="12">
        <f>SUM(B40:M40)</f>
        <v>52627</v>
      </c>
    </row>
    <row r="41" spans="1:14" x14ac:dyDescent="0.2">
      <c r="A41" s="31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42" t="s">
        <v>40</v>
      </c>
      <c r="N41" s="42">
        <v>52627</v>
      </c>
    </row>
    <row r="42" spans="1:14" ht="17" thickBot="1" x14ac:dyDescent="0.25">
      <c r="A42" s="30" t="s">
        <v>38</v>
      </c>
      <c r="B42" s="43">
        <f>SUM(B10,B40)</f>
        <v>6876</v>
      </c>
      <c r="C42" s="43">
        <f t="shared" ref="C42:M42" si="11">SUM(C10,C40)</f>
        <v>6901</v>
      </c>
      <c r="D42" s="43">
        <f t="shared" si="11"/>
        <v>6785</v>
      </c>
      <c r="E42" s="43">
        <f t="shared" si="11"/>
        <v>8112</v>
      </c>
      <c r="F42" s="43">
        <f t="shared" si="11"/>
        <v>9415</v>
      </c>
      <c r="G42" s="43">
        <f t="shared" si="11"/>
        <v>6924</v>
      </c>
      <c r="H42" s="43">
        <f t="shared" si="11"/>
        <v>6971</v>
      </c>
      <c r="I42" s="43">
        <f t="shared" si="11"/>
        <v>6987</v>
      </c>
      <c r="J42" s="43">
        <f t="shared" si="11"/>
        <v>7033</v>
      </c>
      <c r="K42" s="43">
        <f t="shared" si="11"/>
        <v>7349</v>
      </c>
      <c r="L42" s="43">
        <f t="shared" si="11"/>
        <v>7373</v>
      </c>
      <c r="M42" s="43">
        <f t="shared" si="11"/>
        <v>7420</v>
      </c>
      <c r="N42" s="40">
        <f>SUM(B42:M42)</f>
        <v>88146</v>
      </c>
    </row>
    <row r="43" spans="1:14" ht="17" thickTop="1" x14ac:dyDescent="0.2"/>
    <row r="45" spans="1:14" ht="16" customHeight="1" x14ac:dyDescent="0.2">
      <c r="B45" s="17"/>
    </row>
  </sheetData>
  <mergeCells count="1">
    <mergeCell ref="B2:E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D7D12-4B15-4C40-AE2F-90322EA9690A}">
  <dimension ref="A2:A10"/>
  <sheetViews>
    <sheetView workbookViewId="0">
      <selection activeCell="A7" sqref="A7:XFD7"/>
    </sheetView>
  </sheetViews>
  <sheetFormatPr baseColWidth="10" defaultRowHeight="16" x14ac:dyDescent="0.2"/>
  <cols>
    <col min="1" max="1" width="53" customWidth="1"/>
  </cols>
  <sheetData>
    <row r="2" spans="1:1" ht="80" x14ac:dyDescent="0.2">
      <c r="A2" s="45" t="s">
        <v>42</v>
      </c>
    </row>
    <row r="4" spans="1:1" x14ac:dyDescent="0.2">
      <c r="A4" s="46" t="s">
        <v>47</v>
      </c>
    </row>
    <row r="5" spans="1:1" x14ac:dyDescent="0.2">
      <c r="A5" s="46" t="s">
        <v>43</v>
      </c>
    </row>
    <row r="6" spans="1:1" x14ac:dyDescent="0.2">
      <c r="A6" s="46" t="s">
        <v>44</v>
      </c>
    </row>
    <row r="7" spans="1:1" x14ac:dyDescent="0.2">
      <c r="A7" s="46" t="s">
        <v>45</v>
      </c>
    </row>
    <row r="8" spans="1:1" x14ac:dyDescent="0.2">
      <c r="A8" s="46" t="s">
        <v>46</v>
      </c>
    </row>
    <row r="10" spans="1:1" x14ac:dyDescent="0.2">
      <c r="A10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2017</vt:lpstr>
      <vt:lpstr>2018</vt:lpstr>
      <vt:lpstr>About this document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2019-12-17T23:40:49Z</dcterms:created>
  <dcterms:modified xsi:type="dcterms:W3CDTF">2020-01-16T23:58:16Z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etDate">
    <vt:lpwstr>2019-12-17T23:40:50Z</vt:lpwstr>
  </property>
  <property fmtid="{D5CDD505-2E9C-101B-9397-08002B2CF9AE}" pid="4" name="MSIP_Label_f42aa342-8706-4288-bd11-ebb85995028c_Method">
    <vt:lpwstr>Standard</vt:lpwstr>
  </property>
  <property fmtid="{D5CDD505-2E9C-101B-9397-08002B2CF9AE}" pid="5" name="MSIP_Label_f42aa342-8706-4288-bd11-ebb85995028c_Name">
    <vt:lpwstr>Internal</vt:lpwstr>
  </property>
  <property fmtid="{D5CDD505-2E9C-101B-9397-08002B2CF9AE}" pid="6" name="MSIP_Label_f42aa342-8706-4288-bd11-ebb85995028c_SiteId">
    <vt:lpwstr>72f988bf-86f1-41af-91ab-2d7cd011db47</vt:lpwstr>
  </property>
  <property fmtid="{D5CDD505-2E9C-101B-9397-08002B2CF9AE}" pid="7" name="MSIP_Label_f42aa342-8706-4288-bd11-ebb85995028c_ActionId">
    <vt:lpwstr>3180947f-365a-4934-b8a1-0000d58bdbdb</vt:lpwstr>
  </property>
  <property fmtid="{D5CDD505-2E9C-101B-9397-08002B2CF9AE}" pid="8" name="MSIP_Label_f42aa342-8706-4288-bd11-ebb85995028c_ContentBits">
    <vt:lpwstr>0</vt:lpwstr>
  </property>
</Properties>
</file>