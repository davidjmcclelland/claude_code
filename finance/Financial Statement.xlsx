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teachmc/Desktop/Michael McDonald assets 2822086:2825077: /"/>
    </mc:Choice>
  </mc:AlternateContent>
  <xr:revisionPtr revIDLastSave="0" documentId="13_ncr:1_{6AD0029B-0315-4E4A-80C2-BF52294C1929}" xr6:coauthVersionLast="45" xr6:coauthVersionMax="45" xr10:uidLastSave="{00000000-0000-0000-0000-000000000000}"/>
  <bookViews>
    <workbookView xWindow="8880" yWindow="460" windowWidth="24720" windowHeight="19200" xr2:uid="{D7DF0782-01D2-DC4E-82BE-7DACDDF0F9D1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10" i="1" l="1"/>
  <c r="D10" i="1"/>
  <c r="E10" i="1"/>
  <c r="F10" i="1"/>
  <c r="B10" i="1"/>
  <c r="E66" i="1" l="1"/>
  <c r="C64" i="1"/>
  <c r="D64" i="1"/>
  <c r="E64" i="1"/>
  <c r="F64" i="1"/>
  <c r="C60" i="1"/>
  <c r="D60" i="1"/>
  <c r="E60" i="1"/>
  <c r="F60" i="1"/>
  <c r="C66" i="1"/>
  <c r="D66" i="1"/>
  <c r="B66" i="1" l="1"/>
  <c r="B64" i="1" l="1"/>
  <c r="B43" i="1"/>
  <c r="B60" i="1"/>
  <c r="C19" i="1" l="1"/>
  <c r="D19" i="1"/>
  <c r="E19" i="1"/>
  <c r="F19" i="1"/>
  <c r="D43" i="1"/>
  <c r="E43" i="1"/>
  <c r="F43" i="1"/>
  <c r="C43" i="1"/>
  <c r="B19" i="1"/>
  <c r="E21" i="1" l="1"/>
  <c r="D21" i="1"/>
  <c r="F21" i="1"/>
  <c r="C21" i="1"/>
  <c r="B21" i="1"/>
  <c r="F22" i="1" l="1"/>
  <c r="F23" i="1" s="1"/>
  <c r="F54" i="1" s="1"/>
  <c r="E22" i="1"/>
  <c r="E23" i="1" s="1"/>
  <c r="E54" i="1" s="1"/>
  <c r="C22" i="1"/>
  <c r="C23" i="1" s="1"/>
  <c r="C54" i="1" s="1"/>
  <c r="D22" i="1"/>
  <c r="D23" i="1" s="1"/>
  <c r="D54" i="1" s="1"/>
  <c r="B22" i="1"/>
  <c r="B23" i="1" s="1"/>
  <c r="B46" i="1" s="1"/>
  <c r="B47" i="1" l="1"/>
  <c r="B48" i="1" s="1"/>
  <c r="B67" i="1"/>
  <c r="B68" i="1" s="1"/>
  <c r="B69" i="1" s="1"/>
  <c r="B28" i="1" s="1"/>
  <c r="B36" i="1" s="1"/>
  <c r="C46" i="1"/>
  <c r="C67" i="1" s="1"/>
  <c r="C68" i="1" s="1"/>
  <c r="C69" i="1" s="1"/>
  <c r="C28" i="1" s="1"/>
  <c r="C36" i="1" s="1"/>
  <c r="B54" i="1"/>
  <c r="B49" i="1" l="1"/>
  <c r="D46" i="1"/>
  <c r="D67" i="1" s="1"/>
  <c r="D68" i="1" s="1"/>
  <c r="D69" i="1" s="1"/>
  <c r="D28" i="1" s="1"/>
  <c r="D36" i="1" s="1"/>
  <c r="C47" i="1"/>
  <c r="C48" i="1" l="1"/>
  <c r="C49" i="1" s="1"/>
  <c r="E46" i="1"/>
  <c r="E67" i="1" s="1"/>
  <c r="E68" i="1" s="1"/>
  <c r="E69" i="1" s="1"/>
  <c r="E28" i="1" s="1"/>
  <c r="E36" i="1" s="1"/>
  <c r="D47" i="1"/>
  <c r="D48" i="1" l="1"/>
  <c r="D49" i="1" s="1"/>
  <c r="E47" i="1"/>
  <c r="F46" i="1"/>
  <c r="F47" i="1" l="1"/>
  <c r="F48" i="1" s="1"/>
  <c r="F67" i="1"/>
  <c r="F68" i="1" s="1"/>
  <c r="F69" i="1" s="1"/>
  <c r="F28" i="1" s="1"/>
  <c r="F36" i="1" s="1"/>
  <c r="E48" i="1"/>
  <c r="E49" i="1" s="1"/>
  <c r="F49" i="1" l="1"/>
</calcChain>
</file>

<file path=xl/sharedStrings.xml><?xml version="1.0" encoding="utf-8"?>
<sst xmlns="http://schemas.openxmlformats.org/spreadsheetml/2006/main" count="69" uniqueCount="64">
  <si>
    <t>Income Statement</t>
  </si>
  <si>
    <t>Revenue</t>
  </si>
  <si>
    <t>Operating Expenses</t>
  </si>
  <si>
    <t>Balance Sheet</t>
  </si>
  <si>
    <t>Cash</t>
  </si>
  <si>
    <t>Inventory</t>
  </si>
  <si>
    <t>Long Term Debt</t>
  </si>
  <si>
    <t>Common Stock</t>
  </si>
  <si>
    <t>Retained Earnings</t>
  </si>
  <si>
    <t>Accounts Payable</t>
  </si>
  <si>
    <t>Deferred Income Taxes</t>
  </si>
  <si>
    <t>Equity</t>
  </si>
  <si>
    <t>Accounts Receivable</t>
  </si>
  <si>
    <t>Salaries and Wages</t>
  </si>
  <si>
    <t>Other</t>
  </si>
  <si>
    <t>Liabilities</t>
  </si>
  <si>
    <t>Capital Expenditures</t>
  </si>
  <si>
    <t>Cash Flow Statement</t>
  </si>
  <si>
    <t>Gross Revenue</t>
  </si>
  <si>
    <t>Cost of Goods Sold</t>
  </si>
  <si>
    <t>Financial Activities</t>
  </si>
  <si>
    <t>Dividends Paid</t>
  </si>
  <si>
    <t>Operating Activities</t>
  </si>
  <si>
    <t>Deferred Revenue</t>
  </si>
  <si>
    <t>Accrued Expenses</t>
  </si>
  <si>
    <t>Research and Development</t>
  </si>
  <si>
    <t>Sales and Marketing</t>
  </si>
  <si>
    <t>General and Administrative</t>
  </si>
  <si>
    <t>Depreciation &amp; Amortization</t>
  </si>
  <si>
    <t>Taxes</t>
  </si>
  <si>
    <t>Inventories</t>
  </si>
  <si>
    <t>Prepaid Expenses</t>
  </si>
  <si>
    <t>Investments</t>
  </si>
  <si>
    <t>Goodwill</t>
  </si>
  <si>
    <t>Assets</t>
  </si>
  <si>
    <t xml:space="preserve">Net Income </t>
  </si>
  <si>
    <t xml:space="preserve">Total Liabilities &amp; Equity </t>
  </si>
  <si>
    <t xml:space="preserve">Total Assets </t>
  </si>
  <si>
    <t xml:space="preserve">Total Liabilities </t>
  </si>
  <si>
    <t xml:space="preserve">Total Equity </t>
  </si>
  <si>
    <t xml:space="preserve">Gross Profit </t>
  </si>
  <si>
    <t xml:space="preserve">Total Operating Expenses </t>
  </si>
  <si>
    <t xml:space="preserve">Investment Activities </t>
  </si>
  <si>
    <t xml:space="preserve">Net Cash Flow </t>
  </si>
  <si>
    <t>Interest</t>
  </si>
  <si>
    <t>Balance check</t>
  </si>
  <si>
    <t>Income Before Taxes</t>
  </si>
  <si>
    <t>Rent and Utilities</t>
  </si>
  <si>
    <t>Operating Income (EBIT)</t>
  </si>
  <si>
    <t>Other Assets</t>
  </si>
  <si>
    <t>Red30 Tech Financial Statement</t>
  </si>
  <si>
    <t>Five Year Review Ending in 2018</t>
  </si>
  <si>
    <t>(US dollar, in thousands)</t>
  </si>
  <si>
    <t xml:space="preserve">Net Cash Flow From Operations </t>
  </si>
  <si>
    <t xml:space="preserve">Net Cash From Investments </t>
  </si>
  <si>
    <t xml:space="preserve">Net Cash Flow From Financial Activities </t>
  </si>
  <si>
    <t>Intangible Investments</t>
  </si>
  <si>
    <t>Note: this worksheet is part of a series of worksheets with correlating financial data for Red30 Tech. The other worksheets available in the series are:</t>
  </si>
  <si>
    <t>Red30 Tech Marketing Expenses.xlsx</t>
  </si>
  <si>
    <t>Red30 Tech Labor Expenses.xlsx</t>
  </si>
  <si>
    <t>Red30 Tech Budget.xlsx</t>
  </si>
  <si>
    <t>Red30 Tech Balance Sheet.xlsx</t>
  </si>
  <si>
    <t xml:space="preserve">Red30 Tech Overhead Costs.xlsx </t>
  </si>
  <si>
    <t>Property Plant and Equipment (PP&amp;E)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</si>
</sst>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</numFmts>
  <fonts count="1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 Light"/>
      <family val="2"/>
      <scheme val="major"/>
    </font>
    <font>
      <b/>
      <sz val="12"/>
      <color theme="1"/>
      <name val="Calibri Light"/>
      <family val="2"/>
      <scheme val="major"/>
    </font>
    <font>
      <sz val="12"/>
      <name val="Calibri Light"/>
      <family val="2"/>
      <scheme val="major"/>
    </font>
    <font>
      <b/>
      <sz val="18"/>
      <name val="Calibri Light"/>
      <family val="2"/>
      <scheme val="major"/>
    </font>
    <font>
      <sz val="12"/>
      <color theme="4"/>
      <name val="Calibri Light"/>
      <family val="2"/>
      <scheme val="major"/>
    </font>
    <font>
      <b/>
      <sz val="12"/>
      <color theme="4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2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55">
    <xf numFmtId="0" fontId="0" fillId="0" borderId="0" xfId="0"/>
    <xf numFmtId="0" fontId="5" fillId="0" borderId="0" xfId="0" applyFont="1"/>
    <xf numFmtId="0" fontId="5" fillId="0" borderId="0" xfId="0" applyFont="1" applyBorder="1"/>
    <xf numFmtId="0" fontId="5" fillId="0" borderId="0" xfId="0" applyFont="1" applyAlignment="1">
      <alignment horizontal="left"/>
    </xf>
    <xf numFmtId="0" fontId="5" fillId="0" borderId="0" xfId="0" applyFont="1" applyFill="1" applyBorder="1" applyAlignment="1">
      <alignment horizontal="left"/>
    </xf>
    <xf numFmtId="0" fontId="6" fillId="0" borderId="0" xfId="0" applyFont="1" applyFill="1" applyBorder="1" applyAlignment="1">
      <alignment horizontal="left"/>
    </xf>
    <xf numFmtId="42" fontId="5" fillId="0" borderId="0" xfId="0" applyNumberFormat="1" applyFont="1" applyFill="1" applyBorder="1"/>
    <xf numFmtId="0" fontId="2" fillId="0" borderId="0" xfId="0" applyFont="1" applyFill="1" applyBorder="1" applyAlignment="1">
      <alignment horizontal="left"/>
    </xf>
    <xf numFmtId="42" fontId="2" fillId="0" borderId="0" xfId="0" applyNumberFormat="1" applyFont="1" applyFill="1" applyBorder="1"/>
    <xf numFmtId="0" fontId="5" fillId="0" borderId="4" xfId="0" applyFont="1" applyFill="1" applyBorder="1" applyAlignment="1">
      <alignment horizontal="left"/>
    </xf>
    <xf numFmtId="0" fontId="5" fillId="0" borderId="9" xfId="0" applyFont="1" applyFill="1" applyBorder="1" applyAlignment="1">
      <alignment horizontal="left"/>
    </xf>
    <xf numFmtId="0" fontId="2" fillId="0" borderId="4" xfId="0" applyFont="1" applyFill="1" applyBorder="1" applyAlignment="1">
      <alignment horizontal="left"/>
    </xf>
    <xf numFmtId="42" fontId="7" fillId="0" borderId="0" xfId="0" applyNumberFormat="1" applyFont="1" applyFill="1" applyBorder="1"/>
    <xf numFmtId="0" fontId="2" fillId="0" borderId="0" xfId="0" applyFont="1" applyFill="1" applyBorder="1"/>
    <xf numFmtId="42" fontId="7" fillId="0" borderId="7" xfId="0" applyNumberFormat="1" applyFont="1" applyFill="1" applyBorder="1"/>
    <xf numFmtId="41" fontId="5" fillId="0" borderId="0" xfId="0" applyNumberFormat="1" applyFont="1" applyFill="1" applyBorder="1"/>
    <xf numFmtId="42" fontId="5" fillId="0" borderId="0" xfId="1" applyNumberFormat="1" applyFont="1" applyFill="1" applyBorder="1"/>
    <xf numFmtId="0" fontId="2" fillId="0" borderId="8" xfId="0" applyFont="1" applyFill="1" applyBorder="1" applyAlignment="1">
      <alignment horizontal="left"/>
    </xf>
    <xf numFmtId="42" fontId="2" fillId="0" borderId="8" xfId="0" applyNumberFormat="1" applyFont="1" applyFill="1" applyBorder="1"/>
    <xf numFmtId="0" fontId="1" fillId="3" borderId="0" xfId="0" applyFont="1" applyFill="1" applyBorder="1" applyAlignment="1">
      <alignment horizontal="left"/>
    </xf>
    <xf numFmtId="0" fontId="6" fillId="3" borderId="0" xfId="0" applyFont="1" applyFill="1" applyBorder="1"/>
    <xf numFmtId="0" fontId="1" fillId="3" borderId="4" xfId="0" applyFont="1" applyFill="1" applyBorder="1" applyAlignment="1">
      <alignment horizontal="left"/>
    </xf>
    <xf numFmtId="0" fontId="0" fillId="3" borderId="0" xfId="0" applyFont="1" applyFill="1" applyBorder="1"/>
    <xf numFmtId="0" fontId="2" fillId="0" borderId="10" xfId="0" applyFont="1" applyFill="1" applyBorder="1" applyAlignment="1">
      <alignment horizontal="left"/>
    </xf>
    <xf numFmtId="3" fontId="5" fillId="3" borderId="0" xfId="0" applyNumberFormat="1" applyFont="1" applyFill="1" applyBorder="1"/>
    <xf numFmtId="3" fontId="0" fillId="3" borderId="0" xfId="0" applyNumberFormat="1" applyFont="1" applyFill="1" applyBorder="1"/>
    <xf numFmtId="0" fontId="1" fillId="3" borderId="0" xfId="0" applyFont="1" applyFill="1" applyBorder="1"/>
    <xf numFmtId="0" fontId="1" fillId="0" borderId="8" xfId="0" applyFont="1" applyFill="1" applyBorder="1" applyAlignment="1">
      <alignment horizontal="left"/>
    </xf>
    <xf numFmtId="0" fontId="5" fillId="0" borderId="0" xfId="0" applyFont="1" applyFill="1" applyAlignment="1">
      <alignment horizontal="left"/>
    </xf>
    <xf numFmtId="42" fontId="5" fillId="0" borderId="0" xfId="1" applyNumberFormat="1" applyFont="1" applyFill="1"/>
    <xf numFmtId="0" fontId="6" fillId="3" borderId="0" xfId="0" applyFont="1" applyFill="1" applyBorder="1" applyAlignment="1"/>
    <xf numFmtId="0" fontId="5" fillId="3" borderId="0" xfId="0" applyFont="1" applyFill="1"/>
    <xf numFmtId="0" fontId="2" fillId="3" borderId="0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left"/>
    </xf>
    <xf numFmtId="0" fontId="4" fillId="2" borderId="2" xfId="0" applyFont="1" applyFill="1" applyBorder="1"/>
    <xf numFmtId="0" fontId="4" fillId="2" borderId="3" xfId="0" applyFont="1" applyFill="1" applyBorder="1"/>
    <xf numFmtId="0" fontId="4" fillId="2" borderId="6" xfId="0" applyFont="1" applyFill="1" applyBorder="1" applyAlignment="1">
      <alignment horizontal="left"/>
    </xf>
    <xf numFmtId="0" fontId="4" fillId="2" borderId="8" xfId="0" applyFont="1" applyFill="1" applyBorder="1"/>
    <xf numFmtId="0" fontId="4" fillId="2" borderId="5" xfId="0" applyFont="1" applyFill="1" applyBorder="1"/>
    <xf numFmtId="0" fontId="8" fillId="0" borderId="0" xfId="0" applyFont="1" applyFill="1" applyBorder="1" applyAlignment="1"/>
    <xf numFmtId="42" fontId="9" fillId="0" borderId="0" xfId="1" applyNumberFormat="1" applyFont="1" applyFill="1" applyBorder="1"/>
    <xf numFmtId="42" fontId="9" fillId="0" borderId="0" xfId="0" applyNumberFormat="1" applyFont="1" applyFill="1" applyBorder="1"/>
    <xf numFmtId="42" fontId="10" fillId="0" borderId="0" xfId="0" applyNumberFormat="1" applyFont="1" applyFill="1" applyBorder="1"/>
    <xf numFmtId="42" fontId="10" fillId="0" borderId="8" xfId="0" applyNumberFormat="1" applyFont="1" applyFill="1" applyBorder="1"/>
    <xf numFmtId="42" fontId="10" fillId="0" borderId="7" xfId="0" applyNumberFormat="1" applyFont="1" applyFill="1" applyBorder="1"/>
    <xf numFmtId="42" fontId="9" fillId="0" borderId="0" xfId="1" applyNumberFormat="1" applyFont="1" applyFill="1"/>
    <xf numFmtId="42" fontId="10" fillId="0" borderId="10" xfId="1" applyNumberFormat="1" applyFont="1" applyFill="1" applyBorder="1"/>
    <xf numFmtId="42" fontId="10" fillId="0" borderId="8" xfId="1" applyNumberFormat="1" applyFont="1" applyFill="1" applyBorder="1"/>
    <xf numFmtId="42" fontId="10" fillId="0" borderId="10" xfId="0" applyNumberFormat="1" applyFont="1" applyFill="1" applyBorder="1"/>
    <xf numFmtId="0" fontId="5" fillId="0" borderId="6" xfId="0" applyFont="1" applyFill="1" applyBorder="1" applyAlignment="1">
      <alignment horizontal="left"/>
    </xf>
    <xf numFmtId="42" fontId="5" fillId="0" borderId="8" xfId="0" applyNumberFormat="1" applyFont="1" applyFill="1" applyBorder="1"/>
    <xf numFmtId="0" fontId="1" fillId="0" borderId="0" xfId="0" applyFont="1"/>
    <xf numFmtId="42" fontId="2" fillId="0" borderId="10" xfId="0" applyNumberFormat="1" applyFont="1" applyFill="1" applyBorder="1"/>
    <xf numFmtId="0" fontId="11" fillId="0" borderId="0" xfId="0" applyFont="1" applyAlignment="1">
      <alignment vertical="center" wrapText="1"/>
    </xf>
    <xf numFmtId="0" fontId="0" fillId="0" borderId="0" xfId="0" applyAlignment="1">
      <alignment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411012"/>
      <color rgb="FF1F847D"/>
      <color rgb="FF9411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207307</xdr:colOff>
      <xdr:row>0</xdr:row>
      <xdr:rowOff>176180</xdr:rowOff>
    </xdr:from>
    <xdr:to>
      <xdr:col>0</xdr:col>
      <xdr:colOff>2025799</xdr:colOff>
      <xdr:row>3</xdr:row>
      <xdr:rowOff>201083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88FB5D3-5194-7540-B92E-3CD3034603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7307" y="176180"/>
          <a:ext cx="1818492" cy="63873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1694F-53F6-B247-93FF-DEA801C1A164}">
  <dimension ref="A1:G70"/>
  <sheetViews>
    <sheetView showGridLines="0" tabSelected="1" zoomScale="120" zoomScaleNormal="120" workbookViewId="0">
      <selection activeCell="A32" sqref="A32"/>
    </sheetView>
  </sheetViews>
  <sheetFormatPr baseColWidth="10" defaultRowHeight="16" x14ac:dyDescent="0.2"/>
  <cols>
    <col min="1" max="1" width="33" style="3" customWidth="1"/>
    <col min="2" max="2" width="11.6640625" style="1" bestFit="1" customWidth="1"/>
    <col min="3" max="5" width="10.83203125" style="1"/>
    <col min="6" max="6" width="11.6640625" style="1" bestFit="1" customWidth="1"/>
    <col min="7" max="16384" width="10.83203125" style="1"/>
  </cols>
  <sheetData>
    <row r="1" spans="1:7" ht="17" customHeight="1" x14ac:dyDescent="0.3">
      <c r="B1" s="39"/>
    </row>
    <row r="2" spans="1:7" x14ac:dyDescent="0.2">
      <c r="B2" s="51" t="s">
        <v>50</v>
      </c>
      <c r="C2" s="51"/>
    </row>
    <row r="3" spans="1:7" x14ac:dyDescent="0.2">
      <c r="B3" s="51" t="s">
        <v>51</v>
      </c>
      <c r="C3" s="51"/>
    </row>
    <row r="4" spans="1:7" x14ac:dyDescent="0.2">
      <c r="B4" s="1" t="s">
        <v>52</v>
      </c>
      <c r="C4" s="51"/>
    </row>
    <row r="5" spans="1:7" ht="17" customHeight="1" x14ac:dyDescent="0.3">
      <c r="A5" s="39"/>
      <c r="C5" s="39"/>
      <c r="D5" s="39"/>
      <c r="E5" s="39"/>
      <c r="F5" s="39"/>
    </row>
    <row r="6" spans="1:7" x14ac:dyDescent="0.2">
      <c r="A6" s="36" t="s">
        <v>0</v>
      </c>
      <c r="B6" s="37">
        <v>2014</v>
      </c>
      <c r="C6" s="37">
        <v>2015</v>
      </c>
      <c r="D6" s="37">
        <v>2016</v>
      </c>
      <c r="E6" s="37">
        <v>2017</v>
      </c>
      <c r="F6" s="38">
        <v>2018</v>
      </c>
    </row>
    <row r="7" spans="1:7" x14ac:dyDescent="0.2">
      <c r="A7" s="19" t="s">
        <v>1</v>
      </c>
      <c r="B7" s="30"/>
      <c r="C7" s="30"/>
      <c r="D7" s="30"/>
      <c r="E7" s="30"/>
      <c r="F7" s="30"/>
      <c r="G7" s="2"/>
    </row>
    <row r="8" spans="1:7" x14ac:dyDescent="0.2">
      <c r="A8" s="9" t="s">
        <v>18</v>
      </c>
      <c r="B8" s="12">
        <v>914835</v>
      </c>
      <c r="C8" s="12">
        <v>917929</v>
      </c>
      <c r="D8" s="12">
        <v>952348</v>
      </c>
      <c r="E8" s="12">
        <v>985671</v>
      </c>
      <c r="F8" s="12">
        <v>1013072</v>
      </c>
      <c r="G8" s="2"/>
    </row>
    <row r="9" spans="1:7" x14ac:dyDescent="0.2">
      <c r="A9" s="10" t="s">
        <v>19</v>
      </c>
      <c r="B9" s="14">
        <v>332980</v>
      </c>
      <c r="C9" s="14">
        <v>344393</v>
      </c>
      <c r="D9" s="14">
        <v>361716</v>
      </c>
      <c r="E9" s="14">
        <v>375557</v>
      </c>
      <c r="F9" s="14">
        <v>382939</v>
      </c>
      <c r="G9" s="2"/>
    </row>
    <row r="10" spans="1:7" x14ac:dyDescent="0.2">
      <c r="A10" s="11" t="s">
        <v>40</v>
      </c>
      <c r="B10" s="42">
        <f>B8-B9</f>
        <v>581855</v>
      </c>
      <c r="C10" s="42">
        <f t="shared" ref="C10:F10" si="0">C8-C9</f>
        <v>573536</v>
      </c>
      <c r="D10" s="42">
        <f t="shared" si="0"/>
        <v>590632</v>
      </c>
      <c r="E10" s="42">
        <f t="shared" si="0"/>
        <v>610114</v>
      </c>
      <c r="F10" s="42">
        <f t="shared" si="0"/>
        <v>630133</v>
      </c>
      <c r="G10" s="2"/>
    </row>
    <row r="11" spans="1:7" x14ac:dyDescent="0.2">
      <c r="A11" s="21" t="s">
        <v>2</v>
      </c>
      <c r="B11" s="20"/>
      <c r="C11" s="20"/>
      <c r="D11" s="20"/>
      <c r="E11" s="20"/>
      <c r="F11" s="20"/>
      <c r="G11" s="2"/>
    </row>
    <row r="12" spans="1:7" x14ac:dyDescent="0.2">
      <c r="A12" s="9" t="s">
        <v>25</v>
      </c>
      <c r="B12" s="6">
        <v>72272</v>
      </c>
      <c r="C12" s="6">
        <v>66084</v>
      </c>
      <c r="D12" s="6">
        <v>67934</v>
      </c>
      <c r="E12" s="6">
        <v>68014</v>
      </c>
      <c r="F12" s="6">
        <v>78431</v>
      </c>
      <c r="G12" s="2"/>
    </row>
    <row r="13" spans="1:7" x14ac:dyDescent="0.2">
      <c r="A13" s="9" t="s">
        <v>26</v>
      </c>
      <c r="B13" s="6">
        <v>47575</v>
      </c>
      <c r="C13" s="6">
        <v>47373</v>
      </c>
      <c r="D13" s="6">
        <v>49562</v>
      </c>
      <c r="E13" s="6">
        <v>51425</v>
      </c>
      <c r="F13" s="6">
        <v>52627</v>
      </c>
      <c r="G13" s="2"/>
    </row>
    <row r="14" spans="1:7" x14ac:dyDescent="0.2">
      <c r="A14" s="9" t="s">
        <v>27</v>
      </c>
      <c r="B14" s="6">
        <v>7310</v>
      </c>
      <c r="C14" s="6">
        <v>7671</v>
      </c>
      <c r="D14" s="6">
        <v>8572</v>
      </c>
      <c r="E14" s="6">
        <v>6489</v>
      </c>
      <c r="F14" s="6">
        <v>7689</v>
      </c>
      <c r="G14" s="2"/>
    </row>
    <row r="15" spans="1:7" x14ac:dyDescent="0.2">
      <c r="A15" s="9" t="s">
        <v>13</v>
      </c>
      <c r="B15" s="6">
        <v>338983</v>
      </c>
      <c r="C15" s="6">
        <v>352451</v>
      </c>
      <c r="D15" s="6">
        <v>358242</v>
      </c>
      <c r="E15" s="6">
        <v>361774</v>
      </c>
      <c r="F15" s="6">
        <v>364123</v>
      </c>
      <c r="G15" s="2"/>
    </row>
    <row r="16" spans="1:7" x14ac:dyDescent="0.2">
      <c r="A16" s="9" t="s">
        <v>44</v>
      </c>
      <c r="B16" s="6">
        <v>4982</v>
      </c>
      <c r="C16" s="6">
        <v>4748</v>
      </c>
      <c r="D16" s="6">
        <v>4258</v>
      </c>
      <c r="E16" s="6">
        <v>4460</v>
      </c>
      <c r="F16" s="6">
        <v>4122</v>
      </c>
      <c r="G16" s="2"/>
    </row>
    <row r="17" spans="1:7" x14ac:dyDescent="0.2">
      <c r="A17" s="9" t="s">
        <v>47</v>
      </c>
      <c r="B17" s="6">
        <v>60975</v>
      </c>
      <c r="C17" s="6">
        <v>61984</v>
      </c>
      <c r="D17" s="6">
        <v>61865</v>
      </c>
      <c r="E17" s="6">
        <v>59443</v>
      </c>
      <c r="F17" s="6">
        <v>60363</v>
      </c>
      <c r="G17" s="2"/>
    </row>
    <row r="18" spans="1:7" x14ac:dyDescent="0.2">
      <c r="A18" s="9" t="s">
        <v>14</v>
      </c>
      <c r="B18" s="6">
        <v>1249</v>
      </c>
      <c r="C18" s="6">
        <v>1104</v>
      </c>
      <c r="D18" s="6">
        <v>925</v>
      </c>
      <c r="E18" s="6">
        <v>1423</v>
      </c>
      <c r="F18" s="6">
        <v>1239</v>
      </c>
      <c r="G18" s="2"/>
    </row>
    <row r="19" spans="1:7" x14ac:dyDescent="0.2">
      <c r="A19" s="17" t="s">
        <v>41</v>
      </c>
      <c r="B19" s="43">
        <f>SUM(B12:B18)</f>
        <v>533346</v>
      </c>
      <c r="C19" s="43">
        <f>SUM(C12:C18)</f>
        <v>541415</v>
      </c>
      <c r="D19" s="43">
        <f>SUM(D12:D18)</f>
        <v>551358</v>
      </c>
      <c r="E19" s="43">
        <f>SUM(E12:E18)</f>
        <v>553028</v>
      </c>
      <c r="F19" s="43">
        <f>SUM(F12:F18)</f>
        <v>568594</v>
      </c>
      <c r="G19" s="2"/>
    </row>
    <row r="20" spans="1:7" x14ac:dyDescent="0.2">
      <c r="A20" s="32" t="s">
        <v>48</v>
      </c>
      <c r="B20" s="31"/>
      <c r="C20" s="31"/>
      <c r="D20" s="31"/>
      <c r="E20" s="31"/>
      <c r="F20" s="31"/>
      <c r="G20" s="2"/>
    </row>
    <row r="21" spans="1:7" x14ac:dyDescent="0.2">
      <c r="A21" s="11" t="s">
        <v>46</v>
      </c>
      <c r="B21" s="44">
        <f>B10-B19</f>
        <v>48509</v>
      </c>
      <c r="C21" s="44">
        <f>C10-C19</f>
        <v>32121</v>
      </c>
      <c r="D21" s="44">
        <f>D10-D19</f>
        <v>39274</v>
      </c>
      <c r="E21" s="44">
        <f>E10-E19</f>
        <v>57086</v>
      </c>
      <c r="F21" s="44">
        <f>F10-F19</f>
        <v>61539</v>
      </c>
      <c r="G21" s="2"/>
    </row>
    <row r="22" spans="1:7" x14ac:dyDescent="0.2">
      <c r="A22" s="49" t="s">
        <v>29</v>
      </c>
      <c r="B22" s="50">
        <f>B21*21%</f>
        <v>10186.89</v>
      </c>
      <c r="C22" s="50">
        <f>C21*21%</f>
        <v>6745.41</v>
      </c>
      <c r="D22" s="50">
        <f>D21*21%</f>
        <v>8247.5399999999991</v>
      </c>
      <c r="E22" s="50">
        <f>E21*21%</f>
        <v>11988.06</v>
      </c>
      <c r="F22" s="50">
        <f>F21*21%</f>
        <v>12923.189999999999</v>
      </c>
      <c r="G22" s="2"/>
    </row>
    <row r="23" spans="1:7" ht="17" thickBot="1" x14ac:dyDescent="0.25">
      <c r="A23" s="23" t="s">
        <v>35</v>
      </c>
      <c r="B23" s="48">
        <f>B21-B22</f>
        <v>38322.11</v>
      </c>
      <c r="C23" s="48">
        <f t="shared" ref="C23:F23" si="1">C21-C22</f>
        <v>25375.59</v>
      </c>
      <c r="D23" s="48">
        <f t="shared" si="1"/>
        <v>31026.46</v>
      </c>
      <c r="E23" s="48">
        <f t="shared" si="1"/>
        <v>45097.94</v>
      </c>
      <c r="F23" s="48">
        <f t="shared" si="1"/>
        <v>48615.81</v>
      </c>
    </row>
    <row r="24" spans="1:7" ht="17" thickTop="1" x14ac:dyDescent="0.2">
      <c r="A24" s="7"/>
      <c r="B24" s="8"/>
      <c r="C24" s="13"/>
      <c r="D24" s="13"/>
      <c r="E24" s="13"/>
      <c r="F24" s="13"/>
    </row>
    <row r="25" spans="1:7" ht="16" customHeight="1" thickBot="1" x14ac:dyDescent="0.25"/>
    <row r="26" spans="1:7" x14ac:dyDescent="0.2">
      <c r="A26" s="33" t="s">
        <v>3</v>
      </c>
      <c r="B26" s="34">
        <v>2014</v>
      </c>
      <c r="C26" s="34">
        <v>2015</v>
      </c>
      <c r="D26" s="34">
        <v>2016</v>
      </c>
      <c r="E26" s="34">
        <v>2017</v>
      </c>
      <c r="F26" s="35">
        <v>2018</v>
      </c>
    </row>
    <row r="27" spans="1:7" x14ac:dyDescent="0.2">
      <c r="A27" s="19" t="s">
        <v>34</v>
      </c>
      <c r="B27" s="20"/>
      <c r="C27" s="20"/>
      <c r="D27" s="20"/>
      <c r="E27" s="20"/>
      <c r="F27" s="20"/>
    </row>
    <row r="28" spans="1:7" x14ac:dyDescent="0.2">
      <c r="A28" s="4" t="s">
        <v>4</v>
      </c>
      <c r="B28" s="41">
        <f>B69</f>
        <v>145689.72460000002</v>
      </c>
      <c r="C28" s="41">
        <f t="shared" ref="C28:F28" si="2">C69</f>
        <v>151082.14199999999</v>
      </c>
      <c r="D28" s="41">
        <f t="shared" si="2"/>
        <v>159190.4376</v>
      </c>
      <c r="E28" s="41">
        <f t="shared" si="2"/>
        <v>168253.726</v>
      </c>
      <c r="F28" s="41">
        <f t="shared" si="2"/>
        <v>182852.51260000002</v>
      </c>
    </row>
    <row r="29" spans="1:7" x14ac:dyDescent="0.2">
      <c r="A29" s="4" t="s">
        <v>12</v>
      </c>
      <c r="B29" s="6">
        <v>21685</v>
      </c>
      <c r="C29" s="6">
        <v>27697</v>
      </c>
      <c r="D29" s="6">
        <v>29993</v>
      </c>
      <c r="E29" s="6">
        <v>38987</v>
      </c>
      <c r="F29" s="6">
        <v>39329</v>
      </c>
    </row>
    <row r="30" spans="1:7" x14ac:dyDescent="0.2">
      <c r="A30" s="4" t="s">
        <v>30</v>
      </c>
      <c r="B30" s="6">
        <v>23995</v>
      </c>
      <c r="C30" s="6">
        <v>26573</v>
      </c>
      <c r="D30" s="6">
        <v>28098</v>
      </c>
      <c r="E30" s="6">
        <v>34048</v>
      </c>
      <c r="F30" s="6">
        <v>37290</v>
      </c>
    </row>
    <row r="31" spans="1:7" x14ac:dyDescent="0.2">
      <c r="A31" s="4" t="s">
        <v>31</v>
      </c>
      <c r="B31" s="6">
        <v>9860</v>
      </c>
      <c r="C31" s="6">
        <v>11984</v>
      </c>
      <c r="D31" s="6">
        <v>12329</v>
      </c>
      <c r="E31" s="6">
        <v>14555</v>
      </c>
      <c r="F31" s="6">
        <v>17341</v>
      </c>
    </row>
    <row r="32" spans="1:7" x14ac:dyDescent="0.2">
      <c r="A32" s="4" t="s">
        <v>63</v>
      </c>
      <c r="B32" s="6">
        <v>67224</v>
      </c>
      <c r="C32" s="6">
        <v>69576</v>
      </c>
      <c r="D32" s="6">
        <v>73645</v>
      </c>
      <c r="E32" s="6">
        <v>77542</v>
      </c>
      <c r="F32" s="6">
        <v>80298</v>
      </c>
    </row>
    <row r="33" spans="1:6" x14ac:dyDescent="0.2">
      <c r="A33" s="4" t="s">
        <v>32</v>
      </c>
      <c r="B33" s="6">
        <v>18773</v>
      </c>
      <c r="C33" s="6">
        <v>19321</v>
      </c>
      <c r="D33" s="6">
        <v>22324</v>
      </c>
      <c r="E33" s="6">
        <v>24321</v>
      </c>
      <c r="F33" s="6">
        <v>29610</v>
      </c>
    </row>
    <row r="34" spans="1:6" x14ac:dyDescent="0.2">
      <c r="A34" s="4" t="s">
        <v>33</v>
      </c>
      <c r="B34" s="6">
        <v>9898</v>
      </c>
      <c r="C34" s="6">
        <v>11762</v>
      </c>
      <c r="D34" s="6">
        <v>14984</v>
      </c>
      <c r="E34" s="6">
        <v>17425</v>
      </c>
      <c r="F34" s="6">
        <v>22021</v>
      </c>
    </row>
    <row r="35" spans="1:6" x14ac:dyDescent="0.2">
      <c r="A35" s="4" t="s">
        <v>49</v>
      </c>
      <c r="B35" s="6">
        <v>6743</v>
      </c>
      <c r="C35" s="6">
        <v>7839</v>
      </c>
      <c r="D35" s="6">
        <v>9898</v>
      </c>
      <c r="E35" s="6">
        <v>12111</v>
      </c>
      <c r="F35" s="6">
        <v>14327</v>
      </c>
    </row>
    <row r="36" spans="1:6" ht="17" thickBot="1" x14ac:dyDescent="0.25">
      <c r="A36" s="23" t="s">
        <v>37</v>
      </c>
      <c r="B36" s="52">
        <f>SUM(B28:B35)</f>
        <v>303867.72460000002</v>
      </c>
      <c r="C36" s="52">
        <f>SUM(C28:C35)</f>
        <v>325834.14199999999</v>
      </c>
      <c r="D36" s="52">
        <f>SUM(D28:D35)</f>
        <v>350461.4376</v>
      </c>
      <c r="E36" s="52">
        <f>SUM(E28:E35)</f>
        <v>387242.72600000002</v>
      </c>
      <c r="F36" s="52">
        <f>SUM(F28:F35)</f>
        <v>423068.51260000002</v>
      </c>
    </row>
    <row r="37" spans="1:6" ht="17" thickTop="1" x14ac:dyDescent="0.2">
      <c r="A37" s="19" t="s">
        <v>15</v>
      </c>
      <c r="B37" s="22"/>
      <c r="C37" s="22"/>
      <c r="D37" s="22"/>
      <c r="E37" s="22"/>
      <c r="F37" s="22"/>
    </row>
    <row r="38" spans="1:6" x14ac:dyDescent="0.2">
      <c r="A38" s="4" t="s">
        <v>9</v>
      </c>
      <c r="B38" s="6">
        <v>47987</v>
      </c>
      <c r="C38" s="6">
        <v>46287</v>
      </c>
      <c r="D38" s="6">
        <v>47921</v>
      </c>
      <c r="E38" s="6">
        <v>44098</v>
      </c>
      <c r="F38" s="6">
        <v>45356</v>
      </c>
    </row>
    <row r="39" spans="1:6" x14ac:dyDescent="0.2">
      <c r="A39" s="4" t="s">
        <v>23</v>
      </c>
      <c r="B39" s="6">
        <v>48938</v>
      </c>
      <c r="C39" s="6">
        <v>43123</v>
      </c>
      <c r="D39" s="6">
        <v>41933</v>
      </c>
      <c r="E39" s="6">
        <v>39632</v>
      </c>
      <c r="F39" s="6">
        <v>37143</v>
      </c>
    </row>
    <row r="40" spans="1:6" x14ac:dyDescent="0.2">
      <c r="A40" s="4" t="s">
        <v>24</v>
      </c>
      <c r="B40" s="6">
        <v>23876</v>
      </c>
      <c r="C40" s="6">
        <v>24289</v>
      </c>
      <c r="D40" s="6">
        <v>23875</v>
      </c>
      <c r="E40" s="6">
        <v>22432</v>
      </c>
      <c r="F40" s="6">
        <v>19004</v>
      </c>
    </row>
    <row r="41" spans="1:6" x14ac:dyDescent="0.2">
      <c r="A41" s="4" t="s">
        <v>6</v>
      </c>
      <c r="B41" s="6">
        <v>45975</v>
      </c>
      <c r="C41" s="6">
        <v>44134</v>
      </c>
      <c r="D41" s="6">
        <v>41934</v>
      </c>
      <c r="E41" s="6">
        <v>38320</v>
      </c>
      <c r="F41" s="6">
        <v>32350</v>
      </c>
    </row>
    <row r="42" spans="1:6" x14ac:dyDescent="0.2">
      <c r="A42" s="4" t="s">
        <v>10</v>
      </c>
      <c r="B42" s="6">
        <v>20409</v>
      </c>
      <c r="C42" s="6">
        <v>24329</v>
      </c>
      <c r="D42" s="6">
        <v>19853</v>
      </c>
      <c r="E42" s="6">
        <v>21306</v>
      </c>
      <c r="F42" s="6">
        <v>18810</v>
      </c>
    </row>
    <row r="43" spans="1:6" x14ac:dyDescent="0.2">
      <c r="A43" s="17" t="s">
        <v>38</v>
      </c>
      <c r="B43" s="18">
        <f>SUM(B38:B42)</f>
        <v>187185</v>
      </c>
      <c r="C43" s="18">
        <f>SUM(C38:C42)</f>
        <v>182162</v>
      </c>
      <c r="D43" s="18">
        <f>SUM(D38:D42)</f>
        <v>175516</v>
      </c>
      <c r="E43" s="18">
        <f>SUM(E38:E42)</f>
        <v>165788</v>
      </c>
      <c r="F43" s="18">
        <f>SUM(F38:F42)</f>
        <v>152663</v>
      </c>
    </row>
    <row r="44" spans="1:6" x14ac:dyDescent="0.2">
      <c r="A44" s="19" t="s">
        <v>11</v>
      </c>
      <c r="B44" s="22"/>
      <c r="C44" s="22"/>
      <c r="D44" s="22"/>
      <c r="E44" s="22"/>
      <c r="F44" s="22"/>
    </row>
    <row r="45" spans="1:6" x14ac:dyDescent="0.2">
      <c r="A45" s="4" t="s">
        <v>7</v>
      </c>
      <c r="B45" s="15">
        <v>76374</v>
      </c>
      <c r="C45" s="15">
        <v>77987</v>
      </c>
      <c r="D45" s="15">
        <v>78234</v>
      </c>
      <c r="E45" s="15">
        <v>79646</v>
      </c>
      <c r="F45" s="15">
        <v>79981</v>
      </c>
    </row>
    <row r="46" spans="1:6" x14ac:dyDescent="0.2">
      <c r="A46" s="4" t="s">
        <v>8</v>
      </c>
      <c r="B46" s="40">
        <f>SUM(B23+1987)</f>
        <v>40309.11</v>
      </c>
      <c r="C46" s="40">
        <f>C23+B46</f>
        <v>65684.7</v>
      </c>
      <c r="D46" s="40">
        <f>D23+C46</f>
        <v>96711.16</v>
      </c>
      <c r="E46" s="40">
        <f>E23+D46</f>
        <v>141809.1</v>
      </c>
      <c r="F46" s="40">
        <f>F23+E46</f>
        <v>190424.91</v>
      </c>
    </row>
    <row r="47" spans="1:6" ht="16" customHeight="1" x14ac:dyDescent="0.2">
      <c r="A47" s="17" t="s">
        <v>39</v>
      </c>
      <c r="B47" s="47">
        <f>SUM(B45:B46)</f>
        <v>116683.11</v>
      </c>
      <c r="C47" s="47">
        <f t="shared" ref="C47:F47" si="3">SUM(C45:C46)</f>
        <v>143671.70000000001</v>
      </c>
      <c r="D47" s="47">
        <f t="shared" si="3"/>
        <v>174945.16</v>
      </c>
      <c r="E47" s="47">
        <f t="shared" si="3"/>
        <v>221455.1</v>
      </c>
      <c r="F47" s="47">
        <f t="shared" si="3"/>
        <v>270405.91000000003</v>
      </c>
    </row>
    <row r="48" spans="1:6" ht="17" thickBot="1" x14ac:dyDescent="0.25">
      <c r="A48" s="23" t="s">
        <v>36</v>
      </c>
      <c r="B48" s="46">
        <f>SUM(B43+B47)</f>
        <v>303868.11</v>
      </c>
      <c r="C48" s="46">
        <f t="shared" ref="C48:F48" si="4">SUM(C43+C47)</f>
        <v>325833.7</v>
      </c>
      <c r="D48" s="46">
        <f t="shared" si="4"/>
        <v>350461.16000000003</v>
      </c>
      <c r="E48" s="46">
        <f t="shared" si="4"/>
        <v>387243.1</v>
      </c>
      <c r="F48" s="46">
        <f t="shared" si="4"/>
        <v>423068.91000000003</v>
      </c>
    </row>
    <row r="49" spans="1:6" ht="17" thickTop="1" x14ac:dyDescent="0.2">
      <c r="A49" s="28" t="s">
        <v>45</v>
      </c>
      <c r="B49" s="45">
        <f>SUM(B36-B48)</f>
        <v>-0.38539999997010455</v>
      </c>
      <c r="C49" s="45">
        <f t="shared" ref="C49:F49" si="5">SUM(C36-C48)</f>
        <v>0.44199999998090789</v>
      </c>
      <c r="D49" s="45">
        <f t="shared" si="5"/>
        <v>0.27759999997215346</v>
      </c>
      <c r="E49" s="45">
        <f t="shared" si="5"/>
        <v>-0.37399999995250255</v>
      </c>
      <c r="F49" s="45">
        <f t="shared" si="5"/>
        <v>-0.39740000001620501</v>
      </c>
    </row>
    <row r="50" spans="1:6" x14ac:dyDescent="0.2">
      <c r="A50" s="28"/>
      <c r="B50" s="29"/>
      <c r="C50" s="29"/>
      <c r="D50" s="29"/>
      <c r="E50" s="29"/>
      <c r="F50" s="29"/>
    </row>
    <row r="51" spans="1:6" ht="16" customHeight="1" thickBot="1" x14ac:dyDescent="0.25"/>
    <row r="52" spans="1:6" x14ac:dyDescent="0.2">
      <c r="A52" s="33" t="s">
        <v>17</v>
      </c>
      <c r="B52" s="34">
        <v>2014</v>
      </c>
      <c r="C52" s="34">
        <v>2015</v>
      </c>
      <c r="D52" s="34">
        <v>2016</v>
      </c>
      <c r="E52" s="34">
        <v>2017</v>
      </c>
      <c r="F52" s="35">
        <v>2018</v>
      </c>
    </row>
    <row r="53" spans="1:6" ht="20" customHeight="1" x14ac:dyDescent="0.2">
      <c r="A53" s="19" t="s">
        <v>22</v>
      </c>
      <c r="B53" s="24"/>
      <c r="C53" s="24"/>
      <c r="D53" s="24"/>
      <c r="E53" s="24"/>
      <c r="F53" s="24"/>
    </row>
    <row r="54" spans="1:6" ht="16" customHeight="1" x14ac:dyDescent="0.2">
      <c r="A54" s="5" t="s">
        <v>35</v>
      </c>
      <c r="B54" s="40">
        <f>B23</f>
        <v>38322.11</v>
      </c>
      <c r="C54" s="40">
        <f>C23</f>
        <v>25375.59</v>
      </c>
      <c r="D54" s="40">
        <f>D23</f>
        <v>31026.46</v>
      </c>
      <c r="E54" s="40">
        <f>E23</f>
        <v>45097.94</v>
      </c>
      <c r="F54" s="40">
        <f>F23</f>
        <v>48615.81</v>
      </c>
    </row>
    <row r="55" spans="1:6" x14ac:dyDescent="0.2">
      <c r="A55" s="4" t="s">
        <v>28</v>
      </c>
      <c r="B55" s="16">
        <v>18876</v>
      </c>
      <c r="C55" s="16">
        <v>19236</v>
      </c>
      <c r="D55" s="16">
        <v>22442</v>
      </c>
      <c r="E55" s="16">
        <v>24983</v>
      </c>
      <c r="F55" s="16">
        <v>29991</v>
      </c>
    </row>
    <row r="56" spans="1:6" x14ac:dyDescent="0.2">
      <c r="A56" s="4" t="s">
        <v>12</v>
      </c>
      <c r="B56" s="16">
        <v>-10098</v>
      </c>
      <c r="C56" s="16">
        <v>-12421</v>
      </c>
      <c r="D56" s="16">
        <v>-9931</v>
      </c>
      <c r="E56" s="16">
        <v>-9812</v>
      </c>
      <c r="F56" s="16">
        <v>-8642</v>
      </c>
    </row>
    <row r="57" spans="1:6" x14ac:dyDescent="0.2">
      <c r="A57" s="4" t="s">
        <v>5</v>
      </c>
      <c r="B57" s="16">
        <v>-3904</v>
      </c>
      <c r="C57" s="16">
        <v>-4210</v>
      </c>
      <c r="D57" s="16">
        <v>-4356</v>
      </c>
      <c r="E57" s="16">
        <v>-5439</v>
      </c>
      <c r="F57" s="16">
        <v>-5923</v>
      </c>
    </row>
    <row r="58" spans="1:6" x14ac:dyDescent="0.2">
      <c r="A58" s="4" t="s">
        <v>9</v>
      </c>
      <c r="B58" s="16">
        <v>11389</v>
      </c>
      <c r="C58" s="16">
        <v>16353</v>
      </c>
      <c r="D58" s="16">
        <v>18223</v>
      </c>
      <c r="E58" s="16">
        <v>19933</v>
      </c>
      <c r="F58" s="16">
        <v>25336</v>
      </c>
    </row>
    <row r="59" spans="1:6" x14ac:dyDescent="0.2">
      <c r="A59" s="4" t="s">
        <v>14</v>
      </c>
      <c r="B59" s="16">
        <v>20463</v>
      </c>
      <c r="C59" s="16">
        <v>22390</v>
      </c>
      <c r="D59" s="16">
        <v>25987</v>
      </c>
      <c r="E59" s="16">
        <v>25356</v>
      </c>
      <c r="F59" s="16">
        <v>28321</v>
      </c>
    </row>
    <row r="60" spans="1:6" x14ac:dyDescent="0.2">
      <c r="A60" s="27" t="s">
        <v>53</v>
      </c>
      <c r="B60" s="47">
        <f>SUM(B55:B59)</f>
        <v>36726</v>
      </c>
      <c r="C60" s="47">
        <f t="shared" ref="C60:F60" si="6">SUM(C55:C59)</f>
        <v>41348</v>
      </c>
      <c r="D60" s="47">
        <f t="shared" si="6"/>
        <v>52365</v>
      </c>
      <c r="E60" s="47">
        <f t="shared" si="6"/>
        <v>55021</v>
      </c>
      <c r="F60" s="47">
        <f t="shared" si="6"/>
        <v>69083</v>
      </c>
    </row>
    <row r="61" spans="1:6" x14ac:dyDescent="0.2">
      <c r="A61" s="19" t="s">
        <v>42</v>
      </c>
      <c r="B61" s="25"/>
      <c r="C61" s="25"/>
      <c r="D61" s="25"/>
      <c r="E61" s="25"/>
      <c r="F61" s="25"/>
    </row>
    <row r="62" spans="1:6" x14ac:dyDescent="0.2">
      <c r="A62" s="4" t="s">
        <v>56</v>
      </c>
      <c r="B62" s="6">
        <v>18909</v>
      </c>
      <c r="C62" s="6">
        <v>20832</v>
      </c>
      <c r="D62" s="6">
        <v>22567</v>
      </c>
      <c r="E62" s="6">
        <v>27987</v>
      </c>
      <c r="F62" s="6">
        <v>30906</v>
      </c>
    </row>
    <row r="63" spans="1:6" x14ac:dyDescent="0.2">
      <c r="A63" s="4" t="s">
        <v>16</v>
      </c>
      <c r="B63" s="6">
        <v>19324</v>
      </c>
      <c r="C63" s="6">
        <v>20111</v>
      </c>
      <c r="D63" s="6">
        <v>19564</v>
      </c>
      <c r="E63" s="6">
        <v>25453</v>
      </c>
      <c r="F63" s="6">
        <v>29521</v>
      </c>
    </row>
    <row r="64" spans="1:6" x14ac:dyDescent="0.2">
      <c r="A64" s="27" t="s">
        <v>54</v>
      </c>
      <c r="B64" s="43">
        <f>SUM(B62:B63)</f>
        <v>38233</v>
      </c>
      <c r="C64" s="43">
        <f t="shared" ref="C64:F64" si="7">SUM(C62:C63)</f>
        <v>40943</v>
      </c>
      <c r="D64" s="43">
        <f t="shared" si="7"/>
        <v>42131</v>
      </c>
      <c r="E64" s="43">
        <f t="shared" si="7"/>
        <v>53440</v>
      </c>
      <c r="F64" s="43">
        <f t="shared" si="7"/>
        <v>60427</v>
      </c>
    </row>
    <row r="65" spans="1:6" x14ac:dyDescent="0.2">
      <c r="A65" s="19" t="s">
        <v>20</v>
      </c>
      <c r="B65" s="26"/>
      <c r="C65" s="26"/>
      <c r="D65" s="26"/>
      <c r="E65" s="26"/>
      <c r="F65" s="26"/>
    </row>
    <row r="66" spans="1:6" x14ac:dyDescent="0.2">
      <c r="A66" s="4" t="s">
        <v>7</v>
      </c>
      <c r="B66" s="41">
        <f>B45</f>
        <v>76374</v>
      </c>
      <c r="C66" s="41">
        <f t="shared" ref="C66:E66" si="8">C45</f>
        <v>77987</v>
      </c>
      <c r="D66" s="41">
        <f t="shared" si="8"/>
        <v>78234</v>
      </c>
      <c r="E66" s="41">
        <f t="shared" si="8"/>
        <v>79646</v>
      </c>
      <c r="F66" s="41">
        <v>80002</v>
      </c>
    </row>
    <row r="67" spans="1:6" x14ac:dyDescent="0.2">
      <c r="A67" s="4" t="s">
        <v>21</v>
      </c>
      <c r="B67" s="41">
        <f>-(B46*0.14)</f>
        <v>-5643.2754000000004</v>
      </c>
      <c r="C67" s="41">
        <f t="shared" ref="C67:F67" si="9">-(C46*0.14)</f>
        <v>-9195.8580000000002</v>
      </c>
      <c r="D67" s="41">
        <f t="shared" si="9"/>
        <v>-13539.562400000003</v>
      </c>
      <c r="E67" s="41">
        <f t="shared" si="9"/>
        <v>-19853.274000000001</v>
      </c>
      <c r="F67" s="41">
        <f t="shared" si="9"/>
        <v>-26659.487400000002</v>
      </c>
    </row>
    <row r="68" spans="1:6" x14ac:dyDescent="0.2">
      <c r="A68" s="27" t="s">
        <v>55</v>
      </c>
      <c r="B68" s="43">
        <f>SUM(B66:B67)</f>
        <v>70730.724600000001</v>
      </c>
      <c r="C68" s="43">
        <f t="shared" ref="C68:F68" si="10">SUM(C66:C67)</f>
        <v>68791.141999999993</v>
      </c>
      <c r="D68" s="43">
        <f t="shared" si="10"/>
        <v>64694.437599999997</v>
      </c>
      <c r="E68" s="43">
        <f t="shared" si="10"/>
        <v>59792.725999999995</v>
      </c>
      <c r="F68" s="43">
        <f t="shared" si="10"/>
        <v>53342.512600000002</v>
      </c>
    </row>
    <row r="69" spans="1:6" ht="17" thickBot="1" x14ac:dyDescent="0.25">
      <c r="A69" s="23" t="s">
        <v>43</v>
      </c>
      <c r="B69" s="48">
        <f>SUM(B60,B64,B68)</f>
        <v>145689.72460000002</v>
      </c>
      <c r="C69" s="48">
        <f t="shared" ref="C69:F69" si="11">SUM(C60,C64,C68)</f>
        <v>151082.14199999999</v>
      </c>
      <c r="D69" s="48">
        <f t="shared" si="11"/>
        <v>159190.4376</v>
      </c>
      <c r="E69" s="48">
        <f t="shared" si="11"/>
        <v>168253.726</v>
      </c>
      <c r="F69" s="48">
        <f t="shared" si="11"/>
        <v>182852.51260000002</v>
      </c>
    </row>
    <row r="70" spans="1:6" ht="17" thickTop="1" x14ac:dyDescent="0.2"/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F1697-A41A-2942-B1C6-80E42467448E}">
  <dimension ref="A2:A10"/>
  <sheetViews>
    <sheetView workbookViewId="0">
      <selection activeCell="A23" sqref="A23"/>
    </sheetView>
  </sheetViews>
  <sheetFormatPr baseColWidth="10" defaultRowHeight="16" x14ac:dyDescent="0.2"/>
  <cols>
    <col min="1" max="1" width="53" customWidth="1"/>
  </cols>
  <sheetData>
    <row r="2" spans="1:1" ht="80" x14ac:dyDescent="0.2">
      <c r="A2" s="53" t="s">
        <v>57</v>
      </c>
    </row>
    <row r="4" spans="1:1" x14ac:dyDescent="0.2">
      <c r="A4" s="54" t="s">
        <v>58</v>
      </c>
    </row>
    <row r="5" spans="1:1" x14ac:dyDescent="0.2">
      <c r="A5" s="54" t="s">
        <v>59</v>
      </c>
    </row>
    <row r="6" spans="1:1" x14ac:dyDescent="0.2">
      <c r="A6" s="54" t="s">
        <v>60</v>
      </c>
    </row>
    <row r="7" spans="1:1" x14ac:dyDescent="0.2">
      <c r="A7" s="54" t="s">
        <v>61</v>
      </c>
    </row>
    <row r="8" spans="1:1" x14ac:dyDescent="0.2">
      <c r="A8" t="s">
        <v>62</v>
      </c>
    </row>
    <row r="10" spans="1:1" x14ac:dyDescent="0.2">
      <c r="A10" s="5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2019-10-31T19:12:09Z</dcterms:created>
  <dcterms:modified xsi:type="dcterms:W3CDTF">2020-01-16T23:59:55Z</dcterms:modified>
</cp:coreProperties>
</file>