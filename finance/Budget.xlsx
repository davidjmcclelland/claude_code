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teachmc/Desktop/Michael McDonald assets 2822086:2825077: /"/>
    </mc:Choice>
  </mc:AlternateContent>
  <xr:revisionPtr revIDLastSave="0" documentId="13_ncr:1_{5C87F0B0-5AB0-7A42-8BC6-21F7C2EF326A}" xr6:coauthVersionLast="45" xr6:coauthVersionMax="45" xr10:uidLastSave="{00000000-0000-0000-0000-000000000000}"/>
  <bookViews>
    <workbookView xWindow="5640" yWindow="460" windowWidth="22860" windowHeight="19360" xr2:uid="{0B12A38B-9726-934C-8C38-828523B4CBF7}"/>
  </bookViews>
  <sheets>
    <sheet name="Sheet1" sheetId="1" r:id="rId1"/>
    <sheet name="About this documen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0" i="1" l="1"/>
  <c r="D10" i="1"/>
  <c r="E10" i="1"/>
  <c r="F10" i="1"/>
  <c r="G10" i="1"/>
  <c r="H10" i="1"/>
  <c r="I10" i="1"/>
  <c r="J10" i="1"/>
  <c r="K10" i="1"/>
  <c r="L10" i="1"/>
  <c r="M10" i="1"/>
  <c r="B10" i="1"/>
  <c r="C19" i="1"/>
  <c r="D19" i="1"/>
  <c r="E19" i="1"/>
  <c r="F19" i="1"/>
  <c r="G19" i="1"/>
  <c r="H19" i="1"/>
  <c r="I19" i="1"/>
  <c r="J19" i="1"/>
  <c r="K19" i="1"/>
  <c r="L19" i="1"/>
  <c r="M19" i="1"/>
  <c r="B19" i="1"/>
  <c r="N22" i="1"/>
  <c r="N13" i="1"/>
  <c r="N14" i="1"/>
  <c r="N15" i="1"/>
  <c r="N16" i="1"/>
  <c r="N17" i="1"/>
  <c r="N18" i="1"/>
  <c r="N12" i="1"/>
  <c r="N9" i="1"/>
  <c r="N8" i="1"/>
  <c r="C21" i="1" l="1"/>
  <c r="C23" i="1" s="1"/>
  <c r="D21" i="1"/>
  <c r="D23" i="1" s="1"/>
  <c r="G21" i="1"/>
  <c r="G23" i="1" s="1"/>
  <c r="F21" i="1"/>
  <c r="F23" i="1" s="1"/>
  <c r="E21" i="1"/>
  <c r="E23" i="1" s="1"/>
  <c r="L21" i="1"/>
  <c r="L23" i="1" s="1"/>
  <c r="N10" i="1"/>
  <c r="H21" i="1"/>
  <c r="H23" i="1" s="1"/>
  <c r="K21" i="1"/>
  <c r="K23" i="1" s="1"/>
  <c r="M21" i="1"/>
  <c r="M23" i="1" s="1"/>
  <c r="J21" i="1"/>
  <c r="J23" i="1" s="1"/>
  <c r="I21" i="1"/>
  <c r="I23" i="1" s="1"/>
  <c r="B21" i="1"/>
  <c r="B23" i="1" s="1"/>
  <c r="N19" i="1"/>
  <c r="N21" i="1" l="1"/>
  <c r="N23" i="1" s="1"/>
</calcChain>
</file>

<file path=xl/sharedStrings.xml><?xml version="1.0" encoding="utf-8"?>
<sst xmlns="http://schemas.openxmlformats.org/spreadsheetml/2006/main" count="39" uniqueCount="39">
  <si>
    <t>(US dollar, in thousands)</t>
  </si>
  <si>
    <t>Revenue</t>
  </si>
  <si>
    <t>Gross Revenue</t>
  </si>
  <si>
    <t>Cost of Goods Sold</t>
  </si>
  <si>
    <t xml:space="preserve">Gross Profit </t>
  </si>
  <si>
    <t>Operating Expenses</t>
  </si>
  <si>
    <t>Research and Development</t>
  </si>
  <si>
    <t>Sales and Marketing</t>
  </si>
  <si>
    <t>General and Administrative</t>
  </si>
  <si>
    <t>Salaries and Wages</t>
  </si>
  <si>
    <t>Interest</t>
  </si>
  <si>
    <t>Rent and Utilities</t>
  </si>
  <si>
    <t>Other</t>
  </si>
  <si>
    <t xml:space="preserve">Total Operating Expenses </t>
  </si>
  <si>
    <t>Operating Income (EBIT)</t>
  </si>
  <si>
    <t>Income Before Taxes</t>
  </si>
  <si>
    <t>Taxes</t>
  </si>
  <si>
    <t xml:space="preserve">Net Income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</si>
  <si>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</si>
  <si>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</si>
  <si>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</si>
  <si>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</si>
  <si>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</si>
  <si>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</si>
  <si>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</si>
  <si>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</si>
  <si>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</si>
  <si>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</si>
  <si>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</si>
  <si>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Red30 Tech Budget</t>
  </si>
  <si>
    <t>Monthly Forecast 2019</t>
  </si>
  <si>
    <t>Total</t>
  </si>
  <si>
    <t>January</t>
  </si>
  <si>
    <t>Note: this worksheet is part of a series of worksheets with correlating financial data for Red30 Tech. The other worksheets available in the series are:</t>
  </si>
  <si>
    <t>Red30 Tech Marketing Expenses.xlsx</t>
  </si>
  <si>
    <t>Red30 Tech Labor Expenses.xlsx</t>
  </si>
  <si>
    <t>Red30 Tech Balance Sheet.xlsx</t>
  </si>
  <si>
    <t>Red30 Tech Financial Statement.xlsx</t>
  </si>
  <si>
    <t xml:space="preserve">Red30 Tech Overhead Costs.xlsx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</si>
</sst>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64" formatCode="_(&quot;$&quot;* #,##0.0_);_(&quot;$&quot;* \(#,##0.0\);_(&quot;$&quot;* &quot;-&quot;??_);_(@_)"/>
    <numFmt numFmtId="165" formatCode="_(&quot;$&quot;* #,##0_);_(&quot;$&quot;* \(#,##0\);_(&quot;$&quot;* &quot;-&quot;??_);_(@_)"/>
  </numFmts>
  <fonts count="12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42" fontId="7" fillId="0" borderId="0" xfId="0" applyNumberFormat="1" applyFont="1"/>
    <xf numFmtId="0" fontId="2" fillId="3" borderId="3" xfId="0" applyFont="1" applyFill="1" applyBorder="1" applyAlignment="1">
      <alignment horizontal="left"/>
    </xf>
    <xf numFmtId="42" fontId="3" fillId="0" borderId="0" xfId="0" applyNumberFormat="1" applyFont="1"/>
    <xf numFmtId="0" fontId="6" fillId="0" borderId="2" xfId="0" applyFont="1" applyBorder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42" fontId="7" fillId="0" borderId="5" xfId="0" applyNumberFormat="1" applyFont="1" applyBorder="1"/>
    <xf numFmtId="0" fontId="3" fillId="0" borderId="1" xfId="0" applyFont="1" applyBorder="1" applyAlignment="1">
      <alignment horizontal="left"/>
    </xf>
    <xf numFmtId="42" fontId="3" fillId="0" borderId="2" xfId="0" applyNumberFormat="1" applyFont="1" applyBorder="1"/>
    <xf numFmtId="0" fontId="6" fillId="0" borderId="6" xfId="0" applyFont="1" applyBorder="1" applyAlignment="1">
      <alignment horizontal="left"/>
    </xf>
    <xf numFmtId="42" fontId="7" fillId="0" borderId="6" xfId="0" applyNumberFormat="1" applyFont="1" applyBorder="1"/>
    <xf numFmtId="44" fontId="0" fillId="0" borderId="0" xfId="0" applyNumberFormat="1"/>
    <xf numFmtId="0" fontId="1" fillId="2" borderId="0" xfId="0" applyFont="1" applyFill="1" applyBorder="1" applyAlignment="1">
      <alignment horizontal="left"/>
    </xf>
    <xf numFmtId="165" fontId="0" fillId="0" borderId="0" xfId="1" applyNumberFormat="1" applyFont="1"/>
    <xf numFmtId="42" fontId="7" fillId="0" borderId="0" xfId="0" applyNumberFormat="1" applyFont="1" applyBorder="1"/>
    <xf numFmtId="42" fontId="3" fillId="0" borderId="0" xfId="0" applyNumberFormat="1" applyFont="1" applyBorder="1"/>
    <xf numFmtId="42" fontId="3" fillId="0" borderId="5" xfId="0" applyNumberFormat="1" applyFont="1" applyBorder="1"/>
    <xf numFmtId="164" fontId="3" fillId="0" borderId="0" xfId="0" applyNumberFormat="1" applyFont="1" applyBorder="1"/>
    <xf numFmtId="164" fontId="3" fillId="0" borderId="5" xfId="0" applyNumberFormat="1" applyFont="1" applyBorder="1"/>
    <xf numFmtId="0" fontId="1" fillId="2" borderId="8" xfId="0" applyFont="1" applyFill="1" applyBorder="1" applyAlignment="1">
      <alignment horizontal="left"/>
    </xf>
    <xf numFmtId="42" fontId="3" fillId="4" borderId="9" xfId="0" applyNumberFormat="1" applyFont="1" applyFill="1" applyBorder="1"/>
    <xf numFmtId="42" fontId="3" fillId="4" borderId="10" xfId="0" applyNumberFormat="1" applyFont="1" applyFill="1" applyBorder="1"/>
    <xf numFmtId="42" fontId="3" fillId="4" borderId="7" xfId="0" applyNumberFormat="1" applyFont="1" applyFill="1" applyBorder="1"/>
    <xf numFmtId="0" fontId="2" fillId="5" borderId="9" xfId="0" applyFont="1" applyFill="1" applyBorder="1" applyAlignment="1">
      <alignment horizontal="left"/>
    </xf>
    <xf numFmtId="0" fontId="5" fillId="5" borderId="9" xfId="0" applyFont="1" applyFill="1" applyBorder="1"/>
    <xf numFmtId="0" fontId="3" fillId="5" borderId="9" xfId="0" applyFont="1" applyFill="1" applyBorder="1"/>
    <xf numFmtId="42" fontId="10" fillId="4" borderId="9" xfId="0" applyNumberFormat="1" applyFont="1" applyFill="1" applyBorder="1"/>
    <xf numFmtId="42" fontId="10" fillId="4" borderId="10" xfId="0" applyNumberFormat="1" applyFont="1" applyFill="1" applyBorder="1"/>
    <xf numFmtId="42" fontId="10" fillId="4" borderId="11" xfId="0" applyNumberFormat="1" applyFont="1" applyFill="1" applyBorder="1"/>
    <xf numFmtId="0" fontId="11" fillId="0" borderId="0" xfId="0" applyFont="1" applyAlignment="1">
      <alignment vertical="center" wrapText="1"/>
    </xf>
    <xf numFmtId="0" fontId="0" fillId="0" borderId="0" xfId="0" applyAlignment="1">
      <alignment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207307</xdr:colOff>
      <xdr:row>0</xdr:row>
      <xdr:rowOff>176180</xdr:rowOff>
    </xdr:from>
    <xdr:to>
      <xdr:col>0</xdr:col>
      <xdr:colOff>2025799</xdr:colOff>
      <xdr:row>4</xdr:row>
      <xdr:rowOff>10583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B08B1B-50D1-6243-BEBE-37A124682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307" y="176180"/>
          <a:ext cx="1818492" cy="6472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06C8-2A17-1241-BDD5-DE5130FDBC78}">
  <dimension ref="A1:N45"/>
  <sheetViews>
    <sheetView showGridLines="0" tabSelected="1" workbookViewId="0"/>
  </sheetViews>
  <sheetFormatPr baseColWidth="10" defaultRowHeight="16" x14ac:dyDescent="0.2"/>
  <cols>
    <col min="1" max="1" width="33" customWidth="1"/>
    <col min="2" max="12" width="11.6640625" customWidth="1"/>
    <col min="13" max="14" width="11.83203125" customWidth="1"/>
    <col min="15" max="18" width="11.6640625" customWidth="1"/>
  </cols>
  <sheetData>
    <row r="1" spans="1:14" ht="24" x14ac:dyDescent="0.3">
      <c r="A1" s="1"/>
      <c r="B1" s="2"/>
      <c r="C1" s="3"/>
      <c r="D1" s="3"/>
      <c r="E1" s="3"/>
      <c r="F1" s="3"/>
    </row>
    <row r="2" spans="1:14" x14ac:dyDescent="0.2">
      <c r="A2" s="1"/>
      <c r="B2" s="4" t="s">
        <v>29</v>
      </c>
      <c r="C2" s="4"/>
      <c r="D2" s="3"/>
      <c r="E2" s="3"/>
      <c r="F2" s="3"/>
    </row>
    <row r="3" spans="1:14" x14ac:dyDescent="0.2">
      <c r="A3" s="1"/>
      <c r="B3" s="4" t="s">
        <v>30</v>
      </c>
      <c r="C3" s="4"/>
      <c r="D3" s="3"/>
      <c r="E3" s="3"/>
      <c r="F3" s="3"/>
    </row>
    <row r="4" spans="1:14" x14ac:dyDescent="0.2">
      <c r="A4" s="1"/>
      <c r="B4" s="3" t="s">
        <v>0</v>
      </c>
      <c r="C4" s="4"/>
      <c r="D4" s="3"/>
      <c r="E4" s="3"/>
      <c r="F4" s="3"/>
    </row>
    <row r="5" spans="1:14" ht="24" x14ac:dyDescent="0.3">
      <c r="A5" s="2"/>
      <c r="B5" s="3"/>
      <c r="C5" s="2"/>
      <c r="D5" s="2"/>
      <c r="E5" s="2"/>
      <c r="F5" s="2"/>
    </row>
    <row r="6" spans="1:14" x14ac:dyDescent="0.2">
      <c r="A6" s="22"/>
      <c r="B6" s="22" t="s">
        <v>32</v>
      </c>
      <c r="C6" s="22" t="s">
        <v>18</v>
      </c>
      <c r="D6" s="22" t="s">
        <v>19</v>
      </c>
      <c r="E6" s="22" t="s">
        <v>20</v>
      </c>
      <c r="F6" s="22" t="s">
        <v>21</v>
      </c>
      <c r="G6" s="22" t="s">
        <v>22</v>
      </c>
      <c r="H6" s="22" t="s">
        <v>23</v>
      </c>
      <c r="I6" s="22" t="s">
        <v>24</v>
      </c>
      <c r="J6" s="22" t="s">
        <v>25</v>
      </c>
      <c r="K6" s="22" t="s">
        <v>26</v>
      </c>
      <c r="L6" s="22" t="s">
        <v>27</v>
      </c>
      <c r="M6" s="22" t="s">
        <v>28</v>
      </c>
      <c r="N6" s="29" t="s">
        <v>31</v>
      </c>
    </row>
    <row r="7" spans="1:14" x14ac:dyDescent="0.2">
      <c r="A7" s="5" t="s">
        <v>1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33"/>
    </row>
    <row r="8" spans="1:14" x14ac:dyDescent="0.2">
      <c r="A8" s="7" t="s">
        <v>2</v>
      </c>
      <c r="B8" s="27">
        <v>84672</v>
      </c>
      <c r="C8" s="25">
        <v>84977</v>
      </c>
      <c r="D8" s="25">
        <v>85284</v>
      </c>
      <c r="E8" s="25">
        <v>85592</v>
      </c>
      <c r="F8" s="25">
        <v>85901</v>
      </c>
      <c r="G8" s="25">
        <v>86211</v>
      </c>
      <c r="H8" s="25">
        <v>86522</v>
      </c>
      <c r="I8" s="25">
        <v>86834</v>
      </c>
      <c r="J8" s="25">
        <v>87148</v>
      </c>
      <c r="K8" s="25">
        <v>87463</v>
      </c>
      <c r="L8" s="25">
        <v>87778</v>
      </c>
      <c r="M8" s="25">
        <v>88095</v>
      </c>
      <c r="N8" s="30">
        <f>SUM(B8:M8)</f>
        <v>1036477</v>
      </c>
    </row>
    <row r="9" spans="1:14" x14ac:dyDescent="0.2">
      <c r="A9" s="8" t="s">
        <v>3</v>
      </c>
      <c r="B9" s="28">
        <v>31455</v>
      </c>
      <c r="C9" s="26">
        <v>31568</v>
      </c>
      <c r="D9" s="26">
        <v>31682</v>
      </c>
      <c r="E9" s="26">
        <v>31696</v>
      </c>
      <c r="F9" s="26">
        <v>31711</v>
      </c>
      <c r="G9" s="26">
        <v>31806</v>
      </c>
      <c r="H9" s="26">
        <v>31814</v>
      </c>
      <c r="I9" s="26">
        <v>31838</v>
      </c>
      <c r="J9" s="26">
        <v>31874</v>
      </c>
      <c r="K9" s="26">
        <v>31491</v>
      </c>
      <c r="L9" s="26">
        <v>31609</v>
      </c>
      <c r="M9" s="26">
        <v>32726</v>
      </c>
      <c r="N9" s="31">
        <f>SUM(B9:M9)</f>
        <v>381270</v>
      </c>
    </row>
    <row r="10" spans="1:14" x14ac:dyDescent="0.2">
      <c r="A10" s="9" t="s">
        <v>4</v>
      </c>
      <c r="B10" s="10">
        <f>B8-B9</f>
        <v>53217</v>
      </c>
      <c r="C10" s="10">
        <f t="shared" ref="C10:M10" si="0">C8-C9</f>
        <v>53409</v>
      </c>
      <c r="D10" s="10">
        <f t="shared" si="0"/>
        <v>53602</v>
      </c>
      <c r="E10" s="10">
        <f t="shared" si="0"/>
        <v>53896</v>
      </c>
      <c r="F10" s="10">
        <f t="shared" si="0"/>
        <v>54190</v>
      </c>
      <c r="G10" s="10">
        <f t="shared" si="0"/>
        <v>54405</v>
      </c>
      <c r="H10" s="10">
        <f t="shared" si="0"/>
        <v>54708</v>
      </c>
      <c r="I10" s="10">
        <f t="shared" si="0"/>
        <v>54996</v>
      </c>
      <c r="J10" s="10">
        <f t="shared" si="0"/>
        <v>55274</v>
      </c>
      <c r="K10" s="10">
        <f t="shared" si="0"/>
        <v>55972</v>
      </c>
      <c r="L10" s="10">
        <f t="shared" si="0"/>
        <v>56169</v>
      </c>
      <c r="M10" s="10">
        <f t="shared" si="0"/>
        <v>55369</v>
      </c>
      <c r="N10" s="36">
        <f>SUM(B10:M10)</f>
        <v>655207</v>
      </c>
    </row>
    <row r="11" spans="1:14" x14ac:dyDescent="0.2">
      <c r="A11" s="11" t="s">
        <v>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34"/>
    </row>
    <row r="12" spans="1:14" x14ac:dyDescent="0.2">
      <c r="A12" s="7" t="s">
        <v>6</v>
      </c>
      <c r="B12" s="12">
        <v>6050</v>
      </c>
      <c r="C12" s="25">
        <v>6072</v>
      </c>
      <c r="D12" s="25">
        <v>6095</v>
      </c>
      <c r="E12" s="25">
        <v>6117</v>
      </c>
      <c r="F12" s="25">
        <v>6140</v>
      </c>
      <c r="G12" s="25">
        <v>6163</v>
      </c>
      <c r="H12" s="25">
        <v>6186</v>
      </c>
      <c r="I12" s="25">
        <v>6199</v>
      </c>
      <c r="J12" s="25">
        <v>6232</v>
      </c>
      <c r="K12" s="25">
        <v>6256</v>
      </c>
      <c r="L12" s="25">
        <v>6279</v>
      </c>
      <c r="M12" s="25">
        <v>6302</v>
      </c>
      <c r="N12" s="30">
        <f>SUM(B12:M12)</f>
        <v>74091</v>
      </c>
    </row>
    <row r="13" spans="1:14" x14ac:dyDescent="0.2">
      <c r="A13" s="7" t="s">
        <v>7</v>
      </c>
      <c r="B13" s="12">
        <v>4187</v>
      </c>
      <c r="C13" s="25">
        <v>4203</v>
      </c>
      <c r="D13" s="25">
        <v>4220</v>
      </c>
      <c r="E13" s="25">
        <v>4236</v>
      </c>
      <c r="F13" s="25">
        <v>4253</v>
      </c>
      <c r="G13" s="25">
        <v>4270</v>
      </c>
      <c r="H13" s="25">
        <v>4287</v>
      </c>
      <c r="I13" s="25">
        <v>4204</v>
      </c>
      <c r="J13" s="25">
        <v>4221</v>
      </c>
      <c r="K13" s="25">
        <v>4238</v>
      </c>
      <c r="L13" s="25">
        <v>4255</v>
      </c>
      <c r="M13" s="25">
        <v>4272</v>
      </c>
      <c r="N13" s="30">
        <f t="shared" ref="N13:N18" si="1">SUM(B13:M13)</f>
        <v>50846</v>
      </c>
    </row>
    <row r="14" spans="1:14" x14ac:dyDescent="0.2">
      <c r="A14" s="7" t="s">
        <v>8</v>
      </c>
      <c r="B14" s="12">
        <v>641</v>
      </c>
      <c r="C14" s="25">
        <v>640</v>
      </c>
      <c r="D14" s="25">
        <v>638</v>
      </c>
      <c r="E14" s="25">
        <v>636</v>
      </c>
      <c r="F14" s="25">
        <v>635</v>
      </c>
      <c r="G14" s="25">
        <v>632</v>
      </c>
      <c r="H14" s="25">
        <v>629</v>
      </c>
      <c r="I14" s="25">
        <v>627</v>
      </c>
      <c r="J14" s="25">
        <v>625</v>
      </c>
      <c r="K14" s="25">
        <v>625</v>
      </c>
      <c r="L14" s="25">
        <v>623</v>
      </c>
      <c r="M14" s="25">
        <v>620</v>
      </c>
      <c r="N14" s="30">
        <f t="shared" si="1"/>
        <v>7571</v>
      </c>
    </row>
    <row r="15" spans="1:14" x14ac:dyDescent="0.2">
      <c r="A15" s="7" t="s">
        <v>9</v>
      </c>
      <c r="B15" s="12">
        <v>31455</v>
      </c>
      <c r="C15" s="25">
        <v>31468</v>
      </c>
      <c r="D15" s="25">
        <v>31482</v>
      </c>
      <c r="E15" s="25">
        <v>31496</v>
      </c>
      <c r="F15" s="25">
        <v>31511</v>
      </c>
      <c r="G15" s="25">
        <v>31526</v>
      </c>
      <c r="H15" s="25">
        <v>31542</v>
      </c>
      <c r="I15" s="25">
        <v>31558</v>
      </c>
      <c r="J15" s="25">
        <v>31574</v>
      </c>
      <c r="K15" s="25">
        <v>31591</v>
      </c>
      <c r="L15" s="25">
        <v>31609</v>
      </c>
      <c r="M15" s="25">
        <v>31626</v>
      </c>
      <c r="N15" s="30">
        <f t="shared" si="1"/>
        <v>378438</v>
      </c>
    </row>
    <row r="16" spans="1:14" x14ac:dyDescent="0.2">
      <c r="A16" s="7" t="s">
        <v>10</v>
      </c>
      <c r="B16" s="12">
        <v>341</v>
      </c>
      <c r="C16" s="25">
        <v>339</v>
      </c>
      <c r="D16" s="25">
        <v>338</v>
      </c>
      <c r="E16" s="25">
        <v>337</v>
      </c>
      <c r="F16" s="25">
        <v>336</v>
      </c>
      <c r="G16" s="25">
        <v>335</v>
      </c>
      <c r="H16" s="25">
        <v>334</v>
      </c>
      <c r="I16" s="25">
        <v>333</v>
      </c>
      <c r="J16" s="25">
        <v>332</v>
      </c>
      <c r="K16" s="25">
        <v>331</v>
      </c>
      <c r="L16" s="25">
        <v>330</v>
      </c>
      <c r="M16" s="25">
        <v>329</v>
      </c>
      <c r="N16" s="30">
        <f t="shared" si="1"/>
        <v>4015</v>
      </c>
    </row>
    <row r="17" spans="1:14" x14ac:dyDescent="0.2">
      <c r="A17" s="7" t="s">
        <v>11</v>
      </c>
      <c r="B17" s="12">
        <v>5166</v>
      </c>
      <c r="C17" s="25">
        <v>5184</v>
      </c>
      <c r="D17" s="25">
        <v>5203</v>
      </c>
      <c r="E17" s="25">
        <v>5222</v>
      </c>
      <c r="F17" s="25">
        <v>5241</v>
      </c>
      <c r="G17" s="25">
        <v>5259</v>
      </c>
      <c r="H17" s="25">
        <v>5278</v>
      </c>
      <c r="I17" s="25">
        <v>5297</v>
      </c>
      <c r="J17" s="25">
        <v>5317</v>
      </c>
      <c r="K17" s="25">
        <v>5336</v>
      </c>
      <c r="L17" s="25">
        <v>5355</v>
      </c>
      <c r="M17" s="25">
        <v>5374</v>
      </c>
      <c r="N17" s="30">
        <f t="shared" si="1"/>
        <v>63232</v>
      </c>
    </row>
    <row r="18" spans="1:14" x14ac:dyDescent="0.2">
      <c r="A18" s="7" t="s">
        <v>12</v>
      </c>
      <c r="B18" s="26">
        <v>1000</v>
      </c>
      <c r="C18" s="26">
        <v>1003</v>
      </c>
      <c r="D18" s="26">
        <v>1007</v>
      </c>
      <c r="E18" s="26">
        <v>1010</v>
      </c>
      <c r="F18" s="26">
        <v>1014</v>
      </c>
      <c r="G18" s="26">
        <v>1018</v>
      </c>
      <c r="H18" s="26">
        <v>1021</v>
      </c>
      <c r="I18" s="26">
        <v>1025</v>
      </c>
      <c r="J18" s="26">
        <v>1029</v>
      </c>
      <c r="K18" s="26">
        <v>1032</v>
      </c>
      <c r="L18" s="26">
        <v>1036</v>
      </c>
      <c r="M18" s="26">
        <v>1040.4345844004035</v>
      </c>
      <c r="N18" s="31">
        <f t="shared" si="1"/>
        <v>12235.434584400404</v>
      </c>
    </row>
    <row r="19" spans="1:14" x14ac:dyDescent="0.2">
      <c r="A19" s="13" t="s">
        <v>13</v>
      </c>
      <c r="B19" s="24">
        <f>SUM(B12:B18)</f>
        <v>48840</v>
      </c>
      <c r="C19" s="24">
        <f t="shared" ref="C19:M19" si="2">SUM(C12:C18)</f>
        <v>48909</v>
      </c>
      <c r="D19" s="24">
        <f t="shared" si="2"/>
        <v>48983</v>
      </c>
      <c r="E19" s="24">
        <f t="shared" si="2"/>
        <v>49054</v>
      </c>
      <c r="F19" s="24">
        <f t="shared" si="2"/>
        <v>49130</v>
      </c>
      <c r="G19" s="24">
        <f t="shared" si="2"/>
        <v>49203</v>
      </c>
      <c r="H19" s="24">
        <f t="shared" si="2"/>
        <v>49277</v>
      </c>
      <c r="I19" s="24">
        <f t="shared" si="2"/>
        <v>49243</v>
      </c>
      <c r="J19" s="24">
        <f t="shared" si="2"/>
        <v>49330</v>
      </c>
      <c r="K19" s="24">
        <f t="shared" si="2"/>
        <v>49409</v>
      </c>
      <c r="L19" s="24">
        <f t="shared" si="2"/>
        <v>49487</v>
      </c>
      <c r="M19" s="24">
        <f t="shared" si="2"/>
        <v>49563.434584400406</v>
      </c>
      <c r="N19" s="36">
        <f>SUM(B19:M19)</f>
        <v>590428.43458440038</v>
      </c>
    </row>
    <row r="20" spans="1:14" x14ac:dyDescent="0.2">
      <c r="A20" s="14" t="s">
        <v>14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35"/>
    </row>
    <row r="21" spans="1:14" x14ac:dyDescent="0.2">
      <c r="A21" s="9" t="s">
        <v>15</v>
      </c>
      <c r="B21" s="16">
        <f>B10-B19</f>
        <v>4377</v>
      </c>
      <c r="C21" s="16">
        <f t="shared" ref="C21:N21" si="3">C10-C19</f>
        <v>4500</v>
      </c>
      <c r="D21" s="16">
        <f t="shared" si="3"/>
        <v>4619</v>
      </c>
      <c r="E21" s="16">
        <f t="shared" si="3"/>
        <v>4842</v>
      </c>
      <c r="F21" s="16">
        <f t="shared" si="3"/>
        <v>5060</v>
      </c>
      <c r="G21" s="16">
        <f t="shared" si="3"/>
        <v>5202</v>
      </c>
      <c r="H21" s="16">
        <f t="shared" si="3"/>
        <v>5431</v>
      </c>
      <c r="I21" s="16">
        <f t="shared" si="3"/>
        <v>5753</v>
      </c>
      <c r="J21" s="16">
        <f t="shared" si="3"/>
        <v>5944</v>
      </c>
      <c r="K21" s="16">
        <f t="shared" si="3"/>
        <v>6563</v>
      </c>
      <c r="L21" s="16">
        <f t="shared" si="3"/>
        <v>6682</v>
      </c>
      <c r="M21" s="16">
        <f t="shared" si="3"/>
        <v>5805.5654155995944</v>
      </c>
      <c r="N21" s="37">
        <f t="shared" si="3"/>
        <v>64778.565415599616</v>
      </c>
    </row>
    <row r="22" spans="1:14" x14ac:dyDescent="0.2">
      <c r="A22" s="17" t="s">
        <v>16</v>
      </c>
      <c r="B22" s="18">
        <v>1079</v>
      </c>
      <c r="C22" s="18">
        <v>1082</v>
      </c>
      <c r="D22" s="18">
        <v>1086</v>
      </c>
      <c r="E22" s="18">
        <v>1090</v>
      </c>
      <c r="F22" s="18">
        <v>1094</v>
      </c>
      <c r="G22" s="18">
        <v>1098</v>
      </c>
      <c r="H22" s="18">
        <v>1102</v>
      </c>
      <c r="I22" s="18">
        <v>1106</v>
      </c>
      <c r="J22" s="18">
        <v>1110</v>
      </c>
      <c r="K22" s="18">
        <v>1114</v>
      </c>
      <c r="L22" s="18">
        <v>1118</v>
      </c>
      <c r="M22" s="18">
        <v>1122</v>
      </c>
      <c r="N22" s="32">
        <f>SUM(B22:M22)</f>
        <v>13201</v>
      </c>
    </row>
    <row r="23" spans="1:14" ht="17" thickBot="1" x14ac:dyDescent="0.25">
      <c r="A23" s="19" t="s">
        <v>17</v>
      </c>
      <c r="B23" s="20">
        <f>B21-B22</f>
        <v>3298</v>
      </c>
      <c r="C23" s="20">
        <f t="shared" ref="C23:M23" si="4">C21-C22</f>
        <v>3418</v>
      </c>
      <c r="D23" s="20">
        <f t="shared" si="4"/>
        <v>3533</v>
      </c>
      <c r="E23" s="20">
        <f t="shared" si="4"/>
        <v>3752</v>
      </c>
      <c r="F23" s="20">
        <f t="shared" si="4"/>
        <v>3966</v>
      </c>
      <c r="G23" s="20">
        <f t="shared" si="4"/>
        <v>4104</v>
      </c>
      <c r="H23" s="20">
        <f t="shared" si="4"/>
        <v>4329</v>
      </c>
      <c r="I23" s="20">
        <f t="shared" si="4"/>
        <v>4647</v>
      </c>
      <c r="J23" s="20">
        <f t="shared" si="4"/>
        <v>4834</v>
      </c>
      <c r="K23" s="20">
        <f t="shared" si="4"/>
        <v>5449</v>
      </c>
      <c r="L23" s="20">
        <f t="shared" si="4"/>
        <v>5564</v>
      </c>
      <c r="M23" s="20">
        <f t="shared" si="4"/>
        <v>4683.5654155995944</v>
      </c>
      <c r="N23" s="38">
        <f>N21-N22</f>
        <v>51577.565415599616</v>
      </c>
    </row>
    <row r="24" spans="1:14" ht="17" thickTop="1" x14ac:dyDescent="0.2"/>
    <row r="30" spans="1:14" x14ac:dyDescent="0.2">
      <c r="K30" s="23"/>
    </row>
    <row r="31" spans="1:14" x14ac:dyDescent="0.2">
      <c r="K31" s="23"/>
    </row>
    <row r="32" spans="1:14" x14ac:dyDescent="0.2">
      <c r="C32" s="21"/>
      <c r="K32" s="23"/>
    </row>
    <row r="33" spans="11:11" x14ac:dyDescent="0.2">
      <c r="K33" s="23"/>
    </row>
    <row r="34" spans="11:11" x14ac:dyDescent="0.2">
      <c r="K34" s="23"/>
    </row>
    <row r="35" spans="11:11" x14ac:dyDescent="0.2">
      <c r="K35" s="23"/>
    </row>
    <row r="36" spans="11:11" x14ac:dyDescent="0.2">
      <c r="K36" s="23"/>
    </row>
    <row r="37" spans="11:11" x14ac:dyDescent="0.2">
      <c r="K37" s="23"/>
    </row>
    <row r="38" spans="11:11" x14ac:dyDescent="0.2">
      <c r="K38" s="23"/>
    </row>
    <row r="39" spans="11:11" x14ac:dyDescent="0.2">
      <c r="K39" s="23"/>
    </row>
    <row r="40" spans="11:11" x14ac:dyDescent="0.2">
      <c r="K40" s="23"/>
    </row>
    <row r="41" spans="11:11" x14ac:dyDescent="0.2">
      <c r="K41" s="23"/>
    </row>
    <row r="42" spans="11:11" x14ac:dyDescent="0.2">
      <c r="K42" s="23"/>
    </row>
    <row r="43" spans="11:11" x14ac:dyDescent="0.2">
      <c r="K43" s="23"/>
    </row>
    <row r="44" spans="11:11" x14ac:dyDescent="0.2">
      <c r="K44" s="23"/>
    </row>
    <row r="45" spans="11:11" x14ac:dyDescent="0.2">
      <c r="K45" s="23"/>
    </row>
  </sheetData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08405-BFA3-3148-B11C-F72AF884C56F}">
  <dimension ref="A2:A10"/>
  <sheetViews>
    <sheetView workbookViewId="0">
      <selection activeCell="A7" sqref="A7:XFD7"/>
    </sheetView>
  </sheetViews>
  <sheetFormatPr baseColWidth="10" defaultRowHeight="16" x14ac:dyDescent="0.2"/>
  <cols>
    <col min="1" max="1" width="53" customWidth="1"/>
  </cols>
  <sheetData>
    <row r="2" spans="1:1" ht="80" x14ac:dyDescent="0.2">
      <c r="A2" s="39" t="s">
        <v>33</v>
      </c>
    </row>
    <row r="4" spans="1:1" x14ac:dyDescent="0.2">
      <c r="A4" s="40" t="s">
        <v>34</v>
      </c>
    </row>
    <row r="5" spans="1:1" x14ac:dyDescent="0.2">
      <c r="A5" s="40" t="s">
        <v>35</v>
      </c>
    </row>
    <row r="6" spans="1:1" x14ac:dyDescent="0.2">
      <c r="A6" t="s">
        <v>38</v>
      </c>
    </row>
    <row r="7" spans="1:1" x14ac:dyDescent="0.2">
      <c r="A7" s="40" t="s">
        <v>36</v>
      </c>
    </row>
    <row r="8" spans="1:1" x14ac:dyDescent="0.2">
      <c r="A8" s="40" t="s">
        <v>37</v>
      </c>
    </row>
    <row r="10" spans="1:1" x14ac:dyDescent="0.2">
      <c r="A10" s="4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About this document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2019-11-19T01:11:28Z</dcterms:created>
  <dcterms:modified xsi:type="dcterms:W3CDTF">2020-01-16T23:59:00Z</dcterms:modified>
</cp:coreProperties>
</file>